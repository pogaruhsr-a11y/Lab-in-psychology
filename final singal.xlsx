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esktop\AU\pratical psy\Measures of Signal Detection\"/>
    </mc:Choice>
  </mc:AlternateContent>
  <bookViews>
    <workbookView xWindow="0" yWindow="0" windowWidth="22476" windowHeight="9048" activeTab="1"/>
  </bookViews>
  <sheets>
    <sheet name="659478_untitled_2025-09-11_11h5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P2" i="2" l="1"/>
  <c r="O2" i="2"/>
  <c r="O8" i="2"/>
  <c r="O7" i="2"/>
  <c r="P3" i="2"/>
  <c r="O3" i="2"/>
  <c r="J15" i="2"/>
  <c r="J14" i="2"/>
  <c r="J11" i="2"/>
  <c r="J10" i="2"/>
  <c r="J9" i="2"/>
  <c r="J8" i="2"/>
  <c r="E103" i="2"/>
  <c r="F103" i="2"/>
  <c r="G103" i="2"/>
  <c r="D103" i="2"/>
</calcChain>
</file>

<file path=xl/sharedStrings.xml><?xml version="1.0" encoding="utf-8"?>
<sst xmlns="http://schemas.openxmlformats.org/spreadsheetml/2006/main" count="965" uniqueCount="67">
  <si>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</si>
  <si>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</si>
  <si>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</si>
  <si>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</si>
  <si>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</si>
  <si>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</si>
  <si>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</si>
  <si>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tilt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</si>
  <si>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</si>
  <si>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</si>
  <si>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</si>
  <si>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</si>
  <si>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</si>
  <si>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</si>
  <si>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</si>
  <si>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</si>
  <si>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key_resp.started</t>
  </si>
  <si>
    <t>fixation.stopped</t>
  </si>
  <si>
    <t>trial.stopped</t>
  </si>
  <si>
    <t>trials.key_resp.keys</t>
  </si>
  <si>
    <t>trials.key_resp.corr</t>
  </si>
  <si>
    <t>trials.key_resp.rt</t>
  </si>
  <si>
    <t>trials.key_resp.duration</t>
  </si>
  <si>
    <t>trials.tilt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</si>
  <si>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</si>
  <si>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</si>
  <si>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</si>
  <si>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</si>
  <si>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</si>
  <si>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</si>
  <si>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</si>
  <si>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</si>
  <si>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up</t>
  </si>
  <si>
    <t>None</t>
  </si>
  <si>
    <t>2025-09-11_11h50.39.815</t>
  </si>
  <si>
    <t>untitled</t>
  </si>
  <si>
    <t>2025.1.1</t>
  </si>
  <si>
    <t>2025-09-11 11h50.45.972240 +0530</t>
  </si>
  <si>
    <t>down</t>
  </si>
  <si>
    <t>Hit</t>
  </si>
  <si>
    <t xml:space="preserve">miss </t>
  </si>
  <si>
    <t>flase  alarms</t>
  </si>
  <si>
    <t xml:space="preserve">correct rejection </t>
  </si>
  <si>
    <t>Respond Yes</t>
  </si>
  <si>
    <t>Respond No</t>
  </si>
  <si>
    <t xml:space="preserve">Signal present </t>
  </si>
  <si>
    <t>signal absent</t>
  </si>
  <si>
    <t>False Alarm</t>
  </si>
  <si>
    <t>Miss</t>
  </si>
  <si>
    <t>Correct Rejection</t>
  </si>
  <si>
    <t>prop hit =</t>
  </si>
  <si>
    <t>prop fa =</t>
  </si>
  <si>
    <t>hit/hit+miss</t>
  </si>
  <si>
    <t xml:space="preserve">fa/fa+corr rejection </t>
  </si>
  <si>
    <t xml:space="preserve">Hit </t>
  </si>
  <si>
    <t>Flase Alarm</t>
  </si>
  <si>
    <t xml:space="preserve">Correct Rejection </t>
  </si>
  <si>
    <t>Signal Present</t>
  </si>
  <si>
    <t>Signal Absent</t>
  </si>
  <si>
    <t xml:space="preserve">Z value </t>
  </si>
  <si>
    <t>d prime</t>
  </si>
  <si>
    <t>c</t>
  </si>
  <si>
    <t>z(prop hit) - z (prop fa)</t>
  </si>
  <si>
    <t>f-z(prop hit) + z ( prop fa )/2</t>
  </si>
  <si>
    <t>No. Trails</t>
  </si>
  <si>
    <t xml:space="preserve">Responses </t>
  </si>
  <si>
    <t xml:space="preserve">condition over 100 trails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</si>
</sst>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6" fillId="0" borderId="10" xfId="0" applyFont="1" applyBorder="1"/>
    <xf numFmtId="0" fontId="16" fillId="0" borderId="0" xfId="0" applyFont="1"/>
    <xf numFmtId="0" fontId="16" fillId="0" borderId="12" xfId="0" applyFont="1" applyBorder="1"/>
    <xf numFmtId="0" fontId="16" fillId="0" borderId="13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Sheet1!$J$6:$J$7</c:f>
              <c:strCache>
                <c:ptCount val="2"/>
                <c:pt idx="0">
                  <c:v>condition over 100 trails </c:v>
                </c:pt>
                <c:pt idx="1">
                  <c:v>Responses 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Sheet1!$I$8:$I$11</c:f>
              <c:strCache>
                <c:ptCount val="4"/>
                <c:pt idx="0">
                  <c:v>Hit </c:v>
                </c:pt>
                <c:pt idx="1">
                  <c:v>Miss</c:v>
                </c:pt>
                <c:pt idx="2">
                  <c:v>Flase Alarm</c:v>
                </c:pt>
                <c:pt idx="3">
                  <c:v>Correct Rejection </c:v>
                </c:pt>
              </c:strCache>
            </c:strRef>
          </c:cat>
          <c:val>
            <c:numRef>
              <c:f>Sheet1!$J$8:$J$11</c:f>
              <c:numCache>
                <c:formatCode>General</c:formatCode>
                <c:ptCount val="4"/>
                <c:pt idx="0">
                  <c:v>28</c:v>
                </c:pt>
                <c:pt idx="1">
                  <c:v>28</c:v>
                </c:pt>
                <c:pt idx="2">
                  <c:v>23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7-486A-99D7-D227E21BE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82750528"/>
        <c:axId val="382756768"/>
      </c:barChart>
      <c:catAx>
        <c:axId val="382750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Responses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756768"/>
        <c:crosses val="autoZero"/>
        <c:auto val="1"/>
        <c:lblAlgn val="ctr"/>
        <c:lblOffset val="100"/>
        <c:noMultiLvlLbl val="0"/>
      </c:catAx>
      <c:valAx>
        <c:axId val="38275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 of Trails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75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signal</a:t>
            </a:r>
            <a:r>
              <a:rPr lang="en-US" baseline="0"/>
              <a:t> presence across trials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Sheet1!$I$14</c:f>
              <c:strCache>
                <c:ptCount val="1"/>
                <c:pt idx="0">
                  <c:v>Signal Present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Sheet1!$J$14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2-42F5-A8C1-46E7BE09226E}"/>
            </c:ext>
          </c:extLst>
        </c:ser>
        <c:ser>
          <c:idx val="1"/>
          <c:order val="1"/>
          <c:tx>
            <c:strRef>
              <c:f>Sheet1!$I$15</c:f>
              <c:strCache>
                <c:ptCount val="1"/>
                <c:pt idx="0">
                  <c:v>Signal Absent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Sheet1!$J$15</c:f>
              <c:numCache>
                <c:formatCode>General</c:formatCode>
                <c:ptCount val="1"/>
                <c:pt idx="0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2-42F5-A8C1-46E7BE0922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370010336"/>
        <c:axId val="370005344"/>
        <c:axId val="0"/>
      </c:bar3DChart>
      <c:catAx>
        <c:axId val="370010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Signal</a:t>
                </a:r>
                <a:r>
                  <a:rPr lang="en-US" baseline="0"/>
                  <a:t> Condition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005344"/>
        <c:crosses val="autoZero"/>
        <c:auto val="1"/>
        <c:lblAlgn val="ctr"/>
        <c:lblOffset val="100"/>
        <c:noMultiLvlLbl val="0"/>
      </c:catAx>
      <c:valAx>
        <c:axId val="370005344"/>
        <c:scaling>
          <c:orientation val="minMax"/>
        </c:scaling>
        <c:delete val="1"/>
        <c:axPos val="l"/>
        <c:majorGridlines>
          <c:spPr>
            <a:ln w="9525">
              <a:solidFill>
                <a:schemeClr val="lt1">
                  <a:lumMod val="50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</a:t>
                </a:r>
                <a:r>
                  <a:rPr lang="en-US" baseline="0"/>
                  <a:t> of Trials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37001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</xdr:colOff>
      <xdr:row>16</xdr:row>
      <xdr:rowOff>49530</xdr:rowOff>
    </xdr:from>
    <xdr:to>
      <xdr:col>13</xdr:col>
      <xdr:colOff>30480</xdr:colOff>
      <xdr:row>31</xdr:row>
      <xdr:rowOff>49530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388620</xdr:colOff>
      <xdr:row>9</xdr:row>
      <xdr:rowOff>163830</xdr:rowOff>
    </xdr:from>
    <xdr:to>
      <xdr:col>20</xdr:col>
      <xdr:colOff>99060</xdr:colOff>
      <xdr:row>24</xdr:row>
      <xdr:rowOff>163830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1"/>
  <sheetViews>
    <sheetView workbookViewId="0">
      <selection sqref="A1:XFD1048576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0</v>
      </c>
      <c r="C2">
        <v>0</v>
      </c>
      <c r="D2" t="s">
        <v>32</v>
      </c>
      <c r="E2">
        <v>0</v>
      </c>
      <c r="F2">
        <v>0.242005200008861</v>
      </c>
      <c r="G2" t="s">
        <v>33</v>
      </c>
      <c r="H2">
        <v>4</v>
      </c>
      <c r="I2">
        <v>0</v>
      </c>
      <c r="J2">
        <v>0</v>
      </c>
      <c r="K2">
        <v>0</v>
      </c>
      <c r="L2">
        <v>0</v>
      </c>
      <c r="M2">
        <v>1.0145999956876E-2</v>
      </c>
      <c r="O2">
        <v>3.8451999425888001E-3</v>
      </c>
      <c r="P2">
        <v>1.0145999956876E-2</v>
      </c>
      <c r="Q2">
        <v>1.00666670000646</v>
      </c>
      <c r="R2">
        <v>1.02323209994938</v>
      </c>
      <c r="S2">
        <v>1.2575563999125701</v>
      </c>
      <c r="T2" t="s">
        <v>32</v>
      </c>
      <c r="U2">
        <v>0</v>
      </c>
      <c r="V2">
        <v>0.242005200008861</v>
      </c>
      <c r="W2" t="s">
        <v>33</v>
      </c>
      <c r="X2">
        <v>4</v>
      </c>
      <c r="Y2">
        <v>659478</v>
      </c>
      <c r="Z2">
        <v>1</v>
      </c>
      <c r="AA2" t="s">
        <v>34</v>
      </c>
      <c r="AB2" t="s">
        <v>35</v>
      </c>
      <c r="AD2" t="s">
        <v>36</v>
      </c>
      <c r="AE2">
        <v>59.921323317268097</v>
      </c>
      <c r="AF2" t="s">
        <v>37</v>
      </c>
    </row>
    <row r="3" spans="1:32" x14ac:dyDescent="0.3">
      <c r="A3">
        <v>1</v>
      </c>
      <c r="B3">
        <v>0</v>
      </c>
      <c r="C3">
        <v>1</v>
      </c>
      <c r="D3" t="s">
        <v>38</v>
      </c>
      <c r="E3">
        <v>1</v>
      </c>
      <c r="F3">
        <v>1.94646839995402</v>
      </c>
      <c r="G3" t="s">
        <v>33</v>
      </c>
      <c r="H3">
        <v>-4</v>
      </c>
      <c r="I3">
        <v>1</v>
      </c>
      <c r="J3">
        <v>0</v>
      </c>
      <c r="K3">
        <v>1</v>
      </c>
      <c r="L3">
        <v>0</v>
      </c>
      <c r="M3">
        <v>1.2731375999282999</v>
      </c>
      <c r="O3">
        <v>1.2579721999354601</v>
      </c>
      <c r="P3">
        <v>1.2731375999282999</v>
      </c>
      <c r="Q3">
        <v>2.2734103999100599</v>
      </c>
      <c r="R3">
        <v>2.2734103999100599</v>
      </c>
      <c r="S3">
        <v>4.22369549993891</v>
      </c>
      <c r="T3" t="s">
        <v>38</v>
      </c>
      <c r="U3">
        <v>1</v>
      </c>
      <c r="V3">
        <v>1.94646839995402</v>
      </c>
      <c r="W3" t="s">
        <v>33</v>
      </c>
      <c r="X3">
        <v>-4</v>
      </c>
      <c r="Y3">
        <v>659478</v>
      </c>
      <c r="Z3">
        <v>1</v>
      </c>
      <c r="AA3" t="s">
        <v>34</v>
      </c>
      <c r="AB3" t="s">
        <v>35</v>
      </c>
      <c r="AD3" t="s">
        <v>36</v>
      </c>
      <c r="AE3">
        <v>59.921323317268097</v>
      </c>
      <c r="AF3" t="s">
        <v>37</v>
      </c>
    </row>
    <row r="4" spans="1:32" x14ac:dyDescent="0.3">
      <c r="A4">
        <v>2</v>
      </c>
      <c r="B4">
        <v>0</v>
      </c>
      <c r="C4">
        <v>2</v>
      </c>
      <c r="D4" t="s">
        <v>32</v>
      </c>
      <c r="E4">
        <v>1</v>
      </c>
      <c r="F4">
        <v>1.21218739997129</v>
      </c>
      <c r="G4" t="s">
        <v>33</v>
      </c>
      <c r="H4">
        <v>0</v>
      </c>
      <c r="I4">
        <v>2</v>
      </c>
      <c r="J4">
        <v>0</v>
      </c>
      <c r="K4">
        <v>2</v>
      </c>
      <c r="L4">
        <v>0</v>
      </c>
      <c r="M4">
        <v>4.2399468999355996</v>
      </c>
      <c r="O4">
        <v>4.2240476999431804</v>
      </c>
      <c r="P4">
        <v>4.2399468999355996</v>
      </c>
      <c r="Q4">
        <v>5.2235904999542901</v>
      </c>
      <c r="R4">
        <v>5.2401950999628699</v>
      </c>
      <c r="S4">
        <v>6.4406516000162801</v>
      </c>
      <c r="T4" t="s">
        <v>32</v>
      </c>
      <c r="U4">
        <v>1</v>
      </c>
      <c r="V4">
        <v>1.21218739997129</v>
      </c>
      <c r="W4" t="s">
        <v>33</v>
      </c>
      <c r="X4">
        <v>0</v>
      </c>
      <c r="Y4">
        <v>659478</v>
      </c>
      <c r="Z4">
        <v>1</v>
      </c>
      <c r="AA4" t="s">
        <v>34</v>
      </c>
      <c r="AB4" t="s">
        <v>35</v>
      </c>
      <c r="AD4" t="s">
        <v>36</v>
      </c>
      <c r="AE4">
        <v>59.921323317268097</v>
      </c>
      <c r="AF4" t="s">
        <v>37</v>
      </c>
    </row>
    <row r="5" spans="1:32" x14ac:dyDescent="0.3">
      <c r="A5">
        <v>3</v>
      </c>
      <c r="B5">
        <v>0</v>
      </c>
      <c r="C5">
        <v>3</v>
      </c>
      <c r="D5" t="s">
        <v>32</v>
      </c>
      <c r="E5">
        <v>1</v>
      </c>
      <c r="F5">
        <v>6.9521699915640001E-2</v>
      </c>
      <c r="G5" t="s">
        <v>33</v>
      </c>
      <c r="H5">
        <v>0</v>
      </c>
      <c r="I5">
        <v>3</v>
      </c>
      <c r="J5">
        <v>0</v>
      </c>
      <c r="K5">
        <v>3</v>
      </c>
      <c r="L5">
        <v>0</v>
      </c>
      <c r="M5">
        <v>6.4567204999038896</v>
      </c>
      <c r="O5">
        <v>6.4409942999482102</v>
      </c>
      <c r="P5">
        <v>6.4567204999038896</v>
      </c>
      <c r="Q5">
        <v>7.4401297000003899</v>
      </c>
      <c r="R5">
        <v>7.4566496999468601</v>
      </c>
      <c r="S5">
        <v>7.5237546999705902</v>
      </c>
      <c r="T5" t="s">
        <v>32</v>
      </c>
      <c r="U5">
        <v>1</v>
      </c>
      <c r="V5">
        <v>6.9521699915640001E-2</v>
      </c>
      <c r="W5" t="s">
        <v>33</v>
      </c>
      <c r="X5">
        <v>0</v>
      </c>
      <c r="Y5">
        <v>659478</v>
      </c>
      <c r="Z5">
        <v>1</v>
      </c>
      <c r="AA5" t="s">
        <v>34</v>
      </c>
      <c r="AB5" t="s">
        <v>35</v>
      </c>
      <c r="AD5" t="s">
        <v>36</v>
      </c>
      <c r="AE5">
        <v>59.921323317268097</v>
      </c>
      <c r="AF5" t="s">
        <v>37</v>
      </c>
    </row>
    <row r="6" spans="1:32" x14ac:dyDescent="0.3">
      <c r="A6">
        <v>4</v>
      </c>
      <c r="B6">
        <v>0</v>
      </c>
      <c r="C6">
        <v>4</v>
      </c>
      <c r="D6" t="s">
        <v>32</v>
      </c>
      <c r="E6">
        <v>0</v>
      </c>
      <c r="F6">
        <v>0.64990220009349198</v>
      </c>
      <c r="G6" t="s">
        <v>33</v>
      </c>
      <c r="H6">
        <v>-3</v>
      </c>
      <c r="I6">
        <v>4</v>
      </c>
      <c r="J6">
        <v>0</v>
      </c>
      <c r="K6">
        <v>4</v>
      </c>
      <c r="L6">
        <v>0</v>
      </c>
      <c r="M6">
        <v>7.53989409992937</v>
      </c>
      <c r="O6">
        <v>7.5241278999019396</v>
      </c>
      <c r="P6">
        <v>7.53989409992937</v>
      </c>
      <c r="Q6">
        <v>8.5233093999559006</v>
      </c>
      <c r="R6">
        <v>8.5399176999926496</v>
      </c>
      <c r="S6">
        <v>9.1738309999927807</v>
      </c>
      <c r="T6" t="s">
        <v>32</v>
      </c>
      <c r="U6">
        <v>0</v>
      </c>
      <c r="V6">
        <v>0.64990220009349198</v>
      </c>
      <c r="W6" t="s">
        <v>33</v>
      </c>
      <c r="X6">
        <v>-3</v>
      </c>
      <c r="Y6">
        <v>659478</v>
      </c>
      <c r="Z6">
        <v>1</v>
      </c>
      <c r="AA6" t="s">
        <v>34</v>
      </c>
      <c r="AB6" t="s">
        <v>35</v>
      </c>
      <c r="AD6" t="s">
        <v>36</v>
      </c>
      <c r="AE6">
        <v>59.921323317268097</v>
      </c>
      <c r="AF6" t="s">
        <v>37</v>
      </c>
    </row>
    <row r="7" spans="1:32" x14ac:dyDescent="0.3">
      <c r="A7">
        <v>5</v>
      </c>
      <c r="B7">
        <v>0</v>
      </c>
      <c r="C7">
        <v>5</v>
      </c>
      <c r="D7" t="s">
        <v>32</v>
      </c>
      <c r="E7">
        <v>1</v>
      </c>
      <c r="F7">
        <v>0.30138770001940401</v>
      </c>
      <c r="G7" t="s">
        <v>33</v>
      </c>
      <c r="H7">
        <v>0</v>
      </c>
      <c r="I7">
        <v>5</v>
      </c>
      <c r="J7">
        <v>0</v>
      </c>
      <c r="K7">
        <v>5</v>
      </c>
      <c r="L7">
        <v>0</v>
      </c>
      <c r="M7">
        <v>9.1899024000158498</v>
      </c>
      <c r="O7">
        <v>9.1741967999842</v>
      </c>
      <c r="P7">
        <v>9.1899024000158498</v>
      </c>
      <c r="Q7">
        <v>10.173671199940101</v>
      </c>
      <c r="R7">
        <v>10.190051599987701</v>
      </c>
      <c r="S7">
        <v>10.4906236999668</v>
      </c>
      <c r="T7" t="s">
        <v>32</v>
      </c>
      <c r="U7">
        <v>1</v>
      </c>
      <c r="V7">
        <v>0.30138770001940401</v>
      </c>
      <c r="W7" t="s">
        <v>33</v>
      </c>
      <c r="X7">
        <v>0</v>
      </c>
      <c r="Y7">
        <v>659478</v>
      </c>
      <c r="Z7">
        <v>1</v>
      </c>
      <c r="AA7" t="s">
        <v>34</v>
      </c>
      <c r="AB7" t="s">
        <v>35</v>
      </c>
      <c r="AD7" t="s">
        <v>36</v>
      </c>
      <c r="AE7">
        <v>59.921323317268097</v>
      </c>
      <c r="AF7" t="s">
        <v>37</v>
      </c>
    </row>
    <row r="8" spans="1:32" x14ac:dyDescent="0.3">
      <c r="A8">
        <v>6</v>
      </c>
      <c r="B8">
        <v>0</v>
      </c>
      <c r="C8">
        <v>6</v>
      </c>
      <c r="D8" t="s">
        <v>32</v>
      </c>
      <c r="E8">
        <v>1</v>
      </c>
      <c r="F8">
        <v>0.49874910002108602</v>
      </c>
      <c r="G8" t="s">
        <v>33</v>
      </c>
      <c r="H8">
        <v>0</v>
      </c>
      <c r="I8">
        <v>6</v>
      </c>
      <c r="J8">
        <v>0</v>
      </c>
      <c r="K8">
        <v>6</v>
      </c>
      <c r="L8">
        <v>0</v>
      </c>
      <c r="M8">
        <v>10.5066369000123</v>
      </c>
      <c r="O8">
        <v>10.4911153999855</v>
      </c>
      <c r="P8">
        <v>10.5066369000123</v>
      </c>
      <c r="Q8">
        <v>11.490384400007301</v>
      </c>
      <c r="R8">
        <v>11.5070236999308</v>
      </c>
      <c r="S8">
        <v>11.990629800013201</v>
      </c>
      <c r="T8" t="s">
        <v>32</v>
      </c>
      <c r="U8">
        <v>1</v>
      </c>
      <c r="V8">
        <v>0.49874910002108602</v>
      </c>
      <c r="W8" t="s">
        <v>33</v>
      </c>
      <c r="X8">
        <v>0</v>
      </c>
      <c r="Y8">
        <v>659478</v>
      </c>
      <c r="Z8">
        <v>1</v>
      </c>
      <c r="AA8" t="s">
        <v>34</v>
      </c>
      <c r="AB8" t="s">
        <v>35</v>
      </c>
      <c r="AD8" t="s">
        <v>36</v>
      </c>
      <c r="AE8">
        <v>59.921323317268097</v>
      </c>
      <c r="AF8" t="s">
        <v>37</v>
      </c>
    </row>
    <row r="9" spans="1:32" x14ac:dyDescent="0.3">
      <c r="A9">
        <v>7</v>
      </c>
      <c r="B9">
        <v>0</v>
      </c>
      <c r="C9">
        <v>7</v>
      </c>
      <c r="D9" t="s">
        <v>38</v>
      </c>
      <c r="E9">
        <v>1</v>
      </c>
      <c r="F9">
        <v>0.241606600000523</v>
      </c>
      <c r="G9" t="s">
        <v>33</v>
      </c>
      <c r="H9">
        <v>-2</v>
      </c>
      <c r="I9">
        <v>7</v>
      </c>
      <c r="J9">
        <v>0</v>
      </c>
      <c r="K9">
        <v>7</v>
      </c>
      <c r="L9">
        <v>0</v>
      </c>
      <c r="M9">
        <v>12.006985799991501</v>
      </c>
      <c r="O9">
        <v>11.9909536999184</v>
      </c>
      <c r="P9">
        <v>12.006985799991501</v>
      </c>
      <c r="Q9">
        <v>12.990292500005999</v>
      </c>
      <c r="R9">
        <v>13.006882000016001</v>
      </c>
      <c r="S9">
        <v>13.2409112999448</v>
      </c>
      <c r="T9" t="s">
        <v>38</v>
      </c>
      <c r="U9">
        <v>1</v>
      </c>
      <c r="V9">
        <v>0.241606600000523</v>
      </c>
      <c r="W9" t="s">
        <v>33</v>
      </c>
      <c r="X9">
        <v>-2</v>
      </c>
      <c r="Y9">
        <v>659478</v>
      </c>
      <c r="Z9">
        <v>1</v>
      </c>
      <c r="AA9" t="s">
        <v>34</v>
      </c>
      <c r="AB9" t="s">
        <v>35</v>
      </c>
      <c r="AD9" t="s">
        <v>36</v>
      </c>
      <c r="AE9">
        <v>59.921323317268097</v>
      </c>
      <c r="AF9" t="s">
        <v>37</v>
      </c>
    </row>
    <row r="10" spans="1:32" x14ac:dyDescent="0.3">
      <c r="A10">
        <v>8</v>
      </c>
      <c r="B10">
        <v>0</v>
      </c>
      <c r="C10">
        <v>8</v>
      </c>
      <c r="D10" t="s">
        <v>38</v>
      </c>
      <c r="E10">
        <v>0</v>
      </c>
      <c r="F10">
        <v>0.403320899931713</v>
      </c>
      <c r="G10" t="s">
        <v>33</v>
      </c>
      <c r="H10">
        <v>0</v>
      </c>
      <c r="I10">
        <v>8</v>
      </c>
      <c r="J10">
        <v>0</v>
      </c>
      <c r="K10">
        <v>8</v>
      </c>
      <c r="L10">
        <v>0</v>
      </c>
      <c r="M10">
        <v>13.2568417999427</v>
      </c>
      <c r="O10">
        <v>13.2412012999411</v>
      </c>
      <c r="P10">
        <v>13.2568417999427</v>
      </c>
      <c r="Q10">
        <v>14.240303299971799</v>
      </c>
      <c r="R10">
        <v>14.2568911999696</v>
      </c>
      <c r="S10">
        <v>14.6570431999862</v>
      </c>
      <c r="T10" t="s">
        <v>38</v>
      </c>
      <c r="U10">
        <v>0</v>
      </c>
      <c r="V10">
        <v>0.403320899931713</v>
      </c>
      <c r="W10" t="s">
        <v>33</v>
      </c>
      <c r="X10">
        <v>0</v>
      </c>
      <c r="Y10">
        <v>659478</v>
      </c>
      <c r="Z10">
        <v>1</v>
      </c>
      <c r="AA10" t="s">
        <v>34</v>
      </c>
      <c r="AB10" t="s">
        <v>35</v>
      </c>
      <c r="AD10" t="s">
        <v>36</v>
      </c>
      <c r="AE10">
        <v>59.921323317268097</v>
      </c>
      <c r="AF10" t="s">
        <v>37</v>
      </c>
    </row>
    <row r="11" spans="1:32" x14ac:dyDescent="0.3">
      <c r="A11">
        <v>9</v>
      </c>
      <c r="B11">
        <v>0</v>
      </c>
      <c r="C11">
        <v>9</v>
      </c>
      <c r="D11" t="s">
        <v>38</v>
      </c>
      <c r="E11">
        <v>1</v>
      </c>
      <c r="F11">
        <v>0.94366789993364297</v>
      </c>
      <c r="G11" t="s">
        <v>33</v>
      </c>
      <c r="H11">
        <v>-4</v>
      </c>
      <c r="I11">
        <v>9</v>
      </c>
      <c r="J11">
        <v>0</v>
      </c>
      <c r="K11">
        <v>9</v>
      </c>
      <c r="L11">
        <v>0</v>
      </c>
      <c r="M11">
        <v>14.6734651000006</v>
      </c>
      <c r="O11">
        <v>14.657357699936201</v>
      </c>
      <c r="P11">
        <v>14.6734651000006</v>
      </c>
      <c r="Q11">
        <v>15.6566175000043</v>
      </c>
      <c r="R11">
        <v>15.6734111999394</v>
      </c>
      <c r="S11">
        <v>16.6070412999251</v>
      </c>
      <c r="T11" t="s">
        <v>38</v>
      </c>
      <c r="U11">
        <v>1</v>
      </c>
      <c r="V11">
        <v>0.94366789993364297</v>
      </c>
      <c r="W11" t="s">
        <v>33</v>
      </c>
      <c r="X11">
        <v>-4</v>
      </c>
      <c r="Y11">
        <v>659478</v>
      </c>
      <c r="Z11">
        <v>1</v>
      </c>
      <c r="AA11" t="s">
        <v>34</v>
      </c>
      <c r="AB11" t="s">
        <v>35</v>
      </c>
      <c r="AD11" t="s">
        <v>36</v>
      </c>
      <c r="AE11">
        <v>59.921323317268097</v>
      </c>
      <c r="AF11" t="s">
        <v>37</v>
      </c>
    </row>
    <row r="12" spans="1:32" x14ac:dyDescent="0.3">
      <c r="A12">
        <v>10</v>
      </c>
      <c r="B12">
        <v>0</v>
      </c>
      <c r="C12">
        <v>10</v>
      </c>
      <c r="D12" t="s">
        <v>38</v>
      </c>
      <c r="E12">
        <v>0</v>
      </c>
      <c r="F12">
        <v>0.56708450010046296</v>
      </c>
      <c r="G12" t="s">
        <v>33</v>
      </c>
      <c r="H12">
        <v>0</v>
      </c>
      <c r="I12">
        <v>10</v>
      </c>
      <c r="J12">
        <v>0</v>
      </c>
      <c r="K12">
        <v>10</v>
      </c>
      <c r="L12">
        <v>0</v>
      </c>
      <c r="M12">
        <v>16.6233654000097</v>
      </c>
      <c r="O12">
        <v>16.607247399981102</v>
      </c>
      <c r="P12">
        <v>16.6233654000097</v>
      </c>
      <c r="Q12">
        <v>17.606979599921001</v>
      </c>
      <c r="R12">
        <v>17.623445699922701</v>
      </c>
      <c r="S12">
        <v>18.1901854999596</v>
      </c>
      <c r="T12" t="s">
        <v>38</v>
      </c>
      <c r="U12">
        <v>0</v>
      </c>
      <c r="V12">
        <v>0.56708450010046296</v>
      </c>
      <c r="W12" t="s">
        <v>33</v>
      </c>
      <c r="X12">
        <v>0</v>
      </c>
      <c r="Y12">
        <v>659478</v>
      </c>
      <c r="Z12">
        <v>1</v>
      </c>
      <c r="AA12" t="s">
        <v>34</v>
      </c>
      <c r="AB12" t="s">
        <v>35</v>
      </c>
      <c r="AD12" t="s">
        <v>36</v>
      </c>
      <c r="AE12">
        <v>59.921323317268097</v>
      </c>
      <c r="AF12" t="s">
        <v>37</v>
      </c>
    </row>
    <row r="13" spans="1:32" x14ac:dyDescent="0.3">
      <c r="A13">
        <v>11</v>
      </c>
      <c r="B13">
        <v>0</v>
      </c>
      <c r="C13">
        <v>11</v>
      </c>
      <c r="D13" t="s">
        <v>38</v>
      </c>
      <c r="E13">
        <v>1</v>
      </c>
      <c r="F13">
        <v>0.55911060003563695</v>
      </c>
      <c r="G13" t="s">
        <v>33</v>
      </c>
      <c r="H13">
        <v>-3</v>
      </c>
      <c r="I13">
        <v>11</v>
      </c>
      <c r="J13">
        <v>0</v>
      </c>
      <c r="K13">
        <v>11</v>
      </c>
      <c r="L13">
        <v>0</v>
      </c>
      <c r="M13">
        <v>18.206769999931499</v>
      </c>
      <c r="O13">
        <v>18.1905198999447</v>
      </c>
      <c r="P13">
        <v>18.206769999931499</v>
      </c>
      <c r="Q13">
        <v>19.190135299926599</v>
      </c>
      <c r="R13">
        <v>19.206673400010899</v>
      </c>
      <c r="S13">
        <v>19.7569556999951</v>
      </c>
      <c r="T13" t="s">
        <v>38</v>
      </c>
      <c r="U13">
        <v>1</v>
      </c>
      <c r="V13">
        <v>0.55911060003563695</v>
      </c>
      <c r="W13" t="s">
        <v>33</v>
      </c>
      <c r="X13">
        <v>-3</v>
      </c>
      <c r="Y13">
        <v>659478</v>
      </c>
      <c r="Z13">
        <v>1</v>
      </c>
      <c r="AA13" t="s">
        <v>34</v>
      </c>
      <c r="AB13" t="s">
        <v>35</v>
      </c>
      <c r="AD13" t="s">
        <v>36</v>
      </c>
      <c r="AE13">
        <v>59.921323317268097</v>
      </c>
      <c r="AF13" t="s">
        <v>37</v>
      </c>
    </row>
    <row r="14" spans="1:32" x14ac:dyDescent="0.3">
      <c r="A14">
        <v>12</v>
      </c>
      <c r="B14">
        <v>0</v>
      </c>
      <c r="C14">
        <v>12</v>
      </c>
      <c r="D14" t="s">
        <v>38</v>
      </c>
      <c r="E14">
        <v>0</v>
      </c>
      <c r="F14">
        <v>0.39301550004165597</v>
      </c>
      <c r="G14" t="s">
        <v>33</v>
      </c>
      <c r="H14">
        <v>0</v>
      </c>
      <c r="I14">
        <v>12</v>
      </c>
      <c r="J14">
        <v>0</v>
      </c>
      <c r="K14">
        <v>12</v>
      </c>
      <c r="L14">
        <v>0</v>
      </c>
      <c r="M14">
        <v>19.773268599994399</v>
      </c>
      <c r="O14">
        <v>19.7572421999648</v>
      </c>
      <c r="P14">
        <v>19.773268599994399</v>
      </c>
      <c r="Q14">
        <v>20.756739799980998</v>
      </c>
      <c r="R14">
        <v>20.773283199989201</v>
      </c>
      <c r="S14">
        <v>21.1570174999069</v>
      </c>
      <c r="T14" t="s">
        <v>38</v>
      </c>
      <c r="U14">
        <v>0</v>
      </c>
      <c r="V14">
        <v>0.39301550004165597</v>
      </c>
      <c r="W14" t="s">
        <v>33</v>
      </c>
      <c r="X14">
        <v>0</v>
      </c>
      <c r="Y14">
        <v>659478</v>
      </c>
      <c r="Z14">
        <v>1</v>
      </c>
      <c r="AA14" t="s">
        <v>34</v>
      </c>
      <c r="AB14" t="s">
        <v>35</v>
      </c>
      <c r="AD14" t="s">
        <v>36</v>
      </c>
      <c r="AE14">
        <v>59.921323317268097</v>
      </c>
      <c r="AF14" t="s">
        <v>37</v>
      </c>
    </row>
    <row r="15" spans="1:32" x14ac:dyDescent="0.3">
      <c r="A15">
        <v>13</v>
      </c>
      <c r="B15">
        <v>0</v>
      </c>
      <c r="C15">
        <v>13</v>
      </c>
      <c r="D15" t="s">
        <v>32</v>
      </c>
      <c r="E15">
        <v>1</v>
      </c>
      <c r="F15">
        <v>0.41699589998461301</v>
      </c>
      <c r="G15" t="s">
        <v>33</v>
      </c>
      <c r="H15">
        <v>0</v>
      </c>
      <c r="I15">
        <v>13</v>
      </c>
      <c r="J15">
        <v>0</v>
      </c>
      <c r="K15">
        <v>13</v>
      </c>
      <c r="L15">
        <v>0</v>
      </c>
      <c r="M15">
        <v>21.173100499901899</v>
      </c>
      <c r="O15">
        <v>21.1572612999007</v>
      </c>
      <c r="P15">
        <v>21.173100499901899</v>
      </c>
      <c r="Q15">
        <v>22.156694500008498</v>
      </c>
      <c r="R15">
        <v>22.173275799956102</v>
      </c>
      <c r="S15">
        <v>22.590415199985699</v>
      </c>
      <c r="T15" t="s">
        <v>32</v>
      </c>
      <c r="U15">
        <v>1</v>
      </c>
      <c r="V15">
        <v>0.41699589998461301</v>
      </c>
      <c r="W15" t="s">
        <v>33</v>
      </c>
      <c r="X15">
        <v>0</v>
      </c>
      <c r="Y15">
        <v>659478</v>
      </c>
      <c r="Z15">
        <v>1</v>
      </c>
      <c r="AA15" t="s">
        <v>34</v>
      </c>
      <c r="AB15" t="s">
        <v>35</v>
      </c>
      <c r="AD15" t="s">
        <v>36</v>
      </c>
      <c r="AE15">
        <v>59.921323317268097</v>
      </c>
      <c r="AF15" t="s">
        <v>37</v>
      </c>
    </row>
    <row r="16" spans="1:32" x14ac:dyDescent="0.3">
      <c r="A16">
        <v>14</v>
      </c>
      <c r="B16">
        <v>0</v>
      </c>
      <c r="C16">
        <v>14</v>
      </c>
      <c r="D16" t="s">
        <v>32</v>
      </c>
      <c r="E16">
        <v>0</v>
      </c>
      <c r="F16">
        <v>0.409835199941881</v>
      </c>
      <c r="G16" t="s">
        <v>33</v>
      </c>
      <c r="H16">
        <v>-5</v>
      </c>
      <c r="I16">
        <v>14</v>
      </c>
      <c r="J16">
        <v>0</v>
      </c>
      <c r="K16">
        <v>14</v>
      </c>
      <c r="L16">
        <v>0</v>
      </c>
      <c r="M16">
        <v>22.6066405000165</v>
      </c>
      <c r="O16">
        <v>22.590731799951701</v>
      </c>
      <c r="P16">
        <v>22.6066405000165</v>
      </c>
      <c r="Q16">
        <v>23.590035300003301</v>
      </c>
      <c r="R16">
        <v>23.606671899906299</v>
      </c>
      <c r="S16">
        <v>24.007398499990799</v>
      </c>
      <c r="T16" t="s">
        <v>32</v>
      </c>
      <c r="U16">
        <v>0</v>
      </c>
      <c r="V16">
        <v>0.409835199941881</v>
      </c>
      <c r="W16" t="s">
        <v>33</v>
      </c>
      <c r="X16">
        <v>-5</v>
      </c>
      <c r="Y16">
        <v>659478</v>
      </c>
      <c r="Z16">
        <v>1</v>
      </c>
      <c r="AA16" t="s">
        <v>34</v>
      </c>
      <c r="AB16" t="s">
        <v>35</v>
      </c>
      <c r="AD16" t="s">
        <v>36</v>
      </c>
      <c r="AE16">
        <v>59.921323317268097</v>
      </c>
      <c r="AF16" t="s">
        <v>37</v>
      </c>
    </row>
    <row r="17" spans="1:32" x14ac:dyDescent="0.3">
      <c r="A17">
        <v>15</v>
      </c>
      <c r="B17">
        <v>0</v>
      </c>
      <c r="C17">
        <v>15</v>
      </c>
      <c r="D17" t="s">
        <v>32</v>
      </c>
      <c r="E17">
        <v>1</v>
      </c>
      <c r="F17">
        <v>9.5636199926957405E-2</v>
      </c>
      <c r="G17" t="s">
        <v>33</v>
      </c>
      <c r="H17">
        <v>0</v>
      </c>
      <c r="I17">
        <v>15</v>
      </c>
      <c r="J17">
        <v>0</v>
      </c>
      <c r="K17">
        <v>15</v>
      </c>
      <c r="L17">
        <v>0</v>
      </c>
      <c r="M17">
        <v>24.023262199945702</v>
      </c>
      <c r="O17">
        <v>24.007632399909198</v>
      </c>
      <c r="P17">
        <v>24.023262199945702</v>
      </c>
      <c r="Q17">
        <v>25.006623899913301</v>
      </c>
      <c r="R17">
        <v>25.023262799950299</v>
      </c>
      <c r="S17">
        <v>25.107060699956399</v>
      </c>
      <c r="T17" t="s">
        <v>32</v>
      </c>
      <c r="U17">
        <v>1</v>
      </c>
      <c r="V17">
        <v>9.5636199926957405E-2</v>
      </c>
      <c r="W17" t="s">
        <v>33</v>
      </c>
      <c r="X17">
        <v>0</v>
      </c>
      <c r="Y17">
        <v>659478</v>
      </c>
      <c r="Z17">
        <v>1</v>
      </c>
      <c r="AA17" t="s">
        <v>34</v>
      </c>
      <c r="AB17" t="s">
        <v>35</v>
      </c>
      <c r="AD17" t="s">
        <v>36</v>
      </c>
      <c r="AE17">
        <v>59.921323317268097</v>
      </c>
      <c r="AF17" t="s">
        <v>37</v>
      </c>
    </row>
    <row r="18" spans="1:32" x14ac:dyDescent="0.3">
      <c r="A18">
        <v>16</v>
      </c>
      <c r="B18">
        <v>0</v>
      </c>
      <c r="C18">
        <v>16</v>
      </c>
      <c r="D18" t="s">
        <v>32</v>
      </c>
      <c r="E18">
        <v>0</v>
      </c>
      <c r="F18">
        <v>0.31604539998807002</v>
      </c>
      <c r="G18" t="s">
        <v>33</v>
      </c>
      <c r="H18">
        <v>-2</v>
      </c>
      <c r="I18">
        <v>16</v>
      </c>
      <c r="J18">
        <v>0</v>
      </c>
      <c r="K18">
        <v>16</v>
      </c>
      <c r="L18">
        <v>0</v>
      </c>
      <c r="M18">
        <v>25.1231394999194</v>
      </c>
      <c r="O18">
        <v>25.107265700004</v>
      </c>
      <c r="P18">
        <v>25.1231394999194</v>
      </c>
      <c r="Q18">
        <v>26.106609000009399</v>
      </c>
      <c r="R18">
        <v>26.123279999941499</v>
      </c>
      <c r="S18">
        <v>26.4240037999115</v>
      </c>
      <c r="T18" t="s">
        <v>32</v>
      </c>
      <c r="U18">
        <v>0</v>
      </c>
      <c r="V18">
        <v>0.31604539998807002</v>
      </c>
      <c r="W18" t="s">
        <v>33</v>
      </c>
      <c r="X18">
        <v>-2</v>
      </c>
      <c r="Y18">
        <v>659478</v>
      </c>
      <c r="Z18">
        <v>1</v>
      </c>
      <c r="AA18" t="s">
        <v>34</v>
      </c>
      <c r="AB18" t="s">
        <v>35</v>
      </c>
      <c r="AD18" t="s">
        <v>36</v>
      </c>
      <c r="AE18">
        <v>59.921323317268097</v>
      </c>
      <c r="AF18" t="s">
        <v>37</v>
      </c>
    </row>
    <row r="19" spans="1:32" x14ac:dyDescent="0.3">
      <c r="A19">
        <v>17</v>
      </c>
      <c r="B19">
        <v>0</v>
      </c>
      <c r="C19">
        <v>17</v>
      </c>
      <c r="D19" t="s">
        <v>32</v>
      </c>
      <c r="E19">
        <v>1</v>
      </c>
      <c r="F19">
        <v>0.34120070002973002</v>
      </c>
      <c r="G19" t="s">
        <v>33</v>
      </c>
      <c r="H19">
        <v>0</v>
      </c>
      <c r="I19">
        <v>17</v>
      </c>
      <c r="J19">
        <v>0</v>
      </c>
      <c r="K19">
        <v>17</v>
      </c>
      <c r="L19">
        <v>0</v>
      </c>
      <c r="M19">
        <v>26.440010999911401</v>
      </c>
      <c r="O19">
        <v>26.424252199940302</v>
      </c>
      <c r="P19">
        <v>26.440010999911401</v>
      </c>
      <c r="Q19">
        <v>27.423263499978901</v>
      </c>
      <c r="R19">
        <v>27.439926399965699</v>
      </c>
      <c r="S19">
        <v>27.773460899945299</v>
      </c>
      <c r="T19" t="s">
        <v>32</v>
      </c>
      <c r="U19">
        <v>1</v>
      </c>
      <c r="V19">
        <v>0.34120070002973002</v>
      </c>
      <c r="W19" t="s">
        <v>33</v>
      </c>
      <c r="X19">
        <v>0</v>
      </c>
      <c r="Y19">
        <v>659478</v>
      </c>
      <c r="Z19">
        <v>1</v>
      </c>
      <c r="AA19" t="s">
        <v>34</v>
      </c>
      <c r="AB19" t="s">
        <v>35</v>
      </c>
      <c r="AD19" t="s">
        <v>36</v>
      </c>
      <c r="AE19">
        <v>59.921323317268097</v>
      </c>
      <c r="AF19" t="s">
        <v>37</v>
      </c>
    </row>
    <row r="20" spans="1:32" x14ac:dyDescent="0.3">
      <c r="A20">
        <v>18</v>
      </c>
      <c r="B20">
        <v>0</v>
      </c>
      <c r="C20">
        <v>18</v>
      </c>
      <c r="D20" t="s">
        <v>32</v>
      </c>
      <c r="E20">
        <v>1</v>
      </c>
      <c r="F20">
        <v>0.27354530000593502</v>
      </c>
      <c r="G20" t="s">
        <v>33</v>
      </c>
      <c r="H20">
        <v>0</v>
      </c>
      <c r="I20">
        <v>18</v>
      </c>
      <c r="J20">
        <v>0</v>
      </c>
      <c r="K20">
        <v>18</v>
      </c>
      <c r="L20">
        <v>0</v>
      </c>
      <c r="M20">
        <v>27.789943399955501</v>
      </c>
      <c r="O20">
        <v>27.773705099942099</v>
      </c>
      <c r="P20">
        <v>27.789943399955501</v>
      </c>
      <c r="Q20">
        <v>28.773350599920299</v>
      </c>
      <c r="R20">
        <v>28.790208099992</v>
      </c>
      <c r="S20">
        <v>29.057586199953199</v>
      </c>
      <c r="T20" t="s">
        <v>32</v>
      </c>
      <c r="U20">
        <v>1</v>
      </c>
      <c r="V20">
        <v>0.27354530000593502</v>
      </c>
      <c r="W20" t="s">
        <v>33</v>
      </c>
      <c r="X20">
        <v>0</v>
      </c>
      <c r="Y20">
        <v>659478</v>
      </c>
      <c r="Z20">
        <v>1</v>
      </c>
      <c r="AA20" t="s">
        <v>34</v>
      </c>
      <c r="AB20" t="s">
        <v>35</v>
      </c>
      <c r="AD20" t="s">
        <v>36</v>
      </c>
      <c r="AE20">
        <v>59.921323317268097</v>
      </c>
      <c r="AF20" t="s">
        <v>37</v>
      </c>
    </row>
    <row r="21" spans="1:32" x14ac:dyDescent="0.3">
      <c r="A21">
        <v>19</v>
      </c>
      <c r="B21">
        <v>0</v>
      </c>
      <c r="C21">
        <v>19</v>
      </c>
      <c r="D21" t="s">
        <v>38</v>
      </c>
      <c r="E21">
        <v>1</v>
      </c>
      <c r="F21">
        <v>0.84032379998825402</v>
      </c>
      <c r="G21" t="s">
        <v>33</v>
      </c>
      <c r="H21">
        <v>-4</v>
      </c>
      <c r="I21">
        <v>19</v>
      </c>
      <c r="J21">
        <v>0</v>
      </c>
      <c r="K21">
        <v>19</v>
      </c>
      <c r="L21">
        <v>0</v>
      </c>
      <c r="M21">
        <v>29.073225699947201</v>
      </c>
      <c r="O21">
        <v>29.058188499999201</v>
      </c>
      <c r="P21">
        <v>29.073225699947201</v>
      </c>
      <c r="Q21">
        <v>30.0730087999254</v>
      </c>
      <c r="R21">
        <v>30.0730087999254</v>
      </c>
      <c r="S21">
        <v>30.9236570999491</v>
      </c>
      <c r="T21" t="s">
        <v>38</v>
      </c>
      <c r="U21">
        <v>1</v>
      </c>
      <c r="V21">
        <v>0.84032379998825402</v>
      </c>
      <c r="W21" t="s">
        <v>33</v>
      </c>
      <c r="X21">
        <v>-4</v>
      </c>
      <c r="Y21">
        <v>659478</v>
      </c>
      <c r="Z21">
        <v>1</v>
      </c>
      <c r="AA21" t="s">
        <v>34</v>
      </c>
      <c r="AB21" t="s">
        <v>35</v>
      </c>
      <c r="AD21" t="s">
        <v>36</v>
      </c>
      <c r="AE21">
        <v>59.921323317268097</v>
      </c>
      <c r="AF21" t="s">
        <v>37</v>
      </c>
    </row>
    <row r="22" spans="1:32" x14ac:dyDescent="0.3">
      <c r="A22">
        <v>20</v>
      </c>
      <c r="B22">
        <v>0</v>
      </c>
      <c r="C22">
        <v>20</v>
      </c>
      <c r="D22" t="s">
        <v>38</v>
      </c>
      <c r="E22">
        <v>0</v>
      </c>
      <c r="F22">
        <v>1.63630230003036</v>
      </c>
      <c r="G22" t="s">
        <v>33</v>
      </c>
      <c r="H22">
        <v>0</v>
      </c>
      <c r="I22">
        <v>20</v>
      </c>
      <c r="J22">
        <v>0</v>
      </c>
      <c r="K22">
        <v>20</v>
      </c>
      <c r="L22">
        <v>0</v>
      </c>
      <c r="M22">
        <v>30.9398911999305</v>
      </c>
      <c r="O22">
        <v>30.9239871999016</v>
      </c>
      <c r="P22">
        <v>30.9398911999305</v>
      </c>
      <c r="Q22">
        <v>31.923420300008701</v>
      </c>
      <c r="R22">
        <v>31.9399686999386</v>
      </c>
      <c r="S22">
        <v>33.573839699965902</v>
      </c>
      <c r="T22" t="s">
        <v>38</v>
      </c>
      <c r="U22">
        <v>0</v>
      </c>
      <c r="V22">
        <v>1.63630230003036</v>
      </c>
      <c r="W22" t="s">
        <v>33</v>
      </c>
      <c r="X22">
        <v>0</v>
      </c>
      <c r="Y22">
        <v>659478</v>
      </c>
      <c r="Z22">
        <v>1</v>
      </c>
      <c r="AA22" t="s">
        <v>34</v>
      </c>
      <c r="AB22" t="s">
        <v>35</v>
      </c>
      <c r="AD22" t="s">
        <v>36</v>
      </c>
      <c r="AE22">
        <v>59.921323317268097</v>
      </c>
      <c r="AF22" t="s">
        <v>37</v>
      </c>
    </row>
    <row r="23" spans="1:32" x14ac:dyDescent="0.3">
      <c r="A23">
        <v>21</v>
      </c>
      <c r="B23">
        <v>0</v>
      </c>
      <c r="C23">
        <v>21</v>
      </c>
      <c r="D23" t="s">
        <v>32</v>
      </c>
      <c r="E23">
        <v>0</v>
      </c>
      <c r="F23">
        <v>5.1845400012098197E-2</v>
      </c>
      <c r="G23" t="s">
        <v>33</v>
      </c>
      <c r="H23">
        <v>3</v>
      </c>
      <c r="I23">
        <v>21</v>
      </c>
      <c r="J23">
        <v>0</v>
      </c>
      <c r="K23">
        <v>21</v>
      </c>
      <c r="L23">
        <v>0</v>
      </c>
      <c r="M23">
        <v>33.590061299968497</v>
      </c>
      <c r="O23">
        <v>33.574128999956798</v>
      </c>
      <c r="P23">
        <v>33.590061299968497</v>
      </c>
      <c r="Q23">
        <v>34.573358599911401</v>
      </c>
      <c r="R23">
        <v>34.589945799903902</v>
      </c>
      <c r="S23">
        <v>34.640670399996402</v>
      </c>
      <c r="T23" t="s">
        <v>32</v>
      </c>
      <c r="U23">
        <v>0</v>
      </c>
      <c r="V23">
        <v>5.1845400012098197E-2</v>
      </c>
      <c r="W23" t="s">
        <v>33</v>
      </c>
      <c r="X23">
        <v>3</v>
      </c>
      <c r="Y23">
        <v>659478</v>
      </c>
      <c r="Z23">
        <v>1</v>
      </c>
      <c r="AA23" t="s">
        <v>34</v>
      </c>
      <c r="AB23" t="s">
        <v>35</v>
      </c>
      <c r="AD23" t="s">
        <v>36</v>
      </c>
      <c r="AE23">
        <v>59.921323317268097</v>
      </c>
      <c r="AF23" t="s">
        <v>37</v>
      </c>
    </row>
    <row r="24" spans="1:32" x14ac:dyDescent="0.3">
      <c r="A24">
        <v>22</v>
      </c>
      <c r="B24">
        <v>0</v>
      </c>
      <c r="C24">
        <v>22</v>
      </c>
      <c r="D24" t="s">
        <v>38</v>
      </c>
      <c r="E24">
        <v>0</v>
      </c>
      <c r="F24">
        <v>0.234031200059689</v>
      </c>
      <c r="G24" t="s">
        <v>33</v>
      </c>
      <c r="H24">
        <v>0</v>
      </c>
      <c r="I24">
        <v>22</v>
      </c>
      <c r="J24">
        <v>0</v>
      </c>
      <c r="K24">
        <v>22</v>
      </c>
      <c r="L24">
        <v>0</v>
      </c>
      <c r="M24">
        <v>34.6565869000041</v>
      </c>
      <c r="O24">
        <v>34.641039400012197</v>
      </c>
      <c r="P24">
        <v>34.6565869000041</v>
      </c>
      <c r="Q24">
        <v>35.6400189999258</v>
      </c>
      <c r="R24">
        <v>35.656667699920902</v>
      </c>
      <c r="S24">
        <v>35.890436399960798</v>
      </c>
      <c r="T24" t="s">
        <v>38</v>
      </c>
      <c r="U24">
        <v>0</v>
      </c>
      <c r="V24">
        <v>0.234031200059689</v>
      </c>
      <c r="W24" t="s">
        <v>33</v>
      </c>
      <c r="X24">
        <v>0</v>
      </c>
      <c r="Y24">
        <v>659478</v>
      </c>
      <c r="Z24">
        <v>1</v>
      </c>
      <c r="AA24" t="s">
        <v>34</v>
      </c>
      <c r="AB24" t="s">
        <v>35</v>
      </c>
      <c r="AD24" t="s">
        <v>36</v>
      </c>
      <c r="AE24">
        <v>59.921323317268097</v>
      </c>
      <c r="AF24" t="s">
        <v>37</v>
      </c>
    </row>
    <row r="25" spans="1:32" x14ac:dyDescent="0.3">
      <c r="A25">
        <v>23</v>
      </c>
      <c r="B25">
        <v>0</v>
      </c>
      <c r="C25">
        <v>23</v>
      </c>
      <c r="D25" t="s">
        <v>38</v>
      </c>
      <c r="E25">
        <v>1</v>
      </c>
      <c r="F25">
        <v>0.67907990003004604</v>
      </c>
      <c r="G25" t="s">
        <v>33</v>
      </c>
      <c r="H25">
        <v>-2</v>
      </c>
      <c r="I25">
        <v>23</v>
      </c>
      <c r="J25">
        <v>0</v>
      </c>
      <c r="K25">
        <v>23</v>
      </c>
      <c r="L25">
        <v>0</v>
      </c>
      <c r="M25">
        <v>35.906731099938</v>
      </c>
      <c r="O25">
        <v>35.890750199905597</v>
      </c>
      <c r="P25">
        <v>35.906731099938</v>
      </c>
      <c r="Q25">
        <v>36.890616499935199</v>
      </c>
      <c r="R25">
        <v>36.906728799920501</v>
      </c>
      <c r="S25">
        <v>37.573553099995401</v>
      </c>
      <c r="T25" t="s">
        <v>38</v>
      </c>
      <c r="U25">
        <v>1</v>
      </c>
      <c r="V25">
        <v>0.67907990003004604</v>
      </c>
      <c r="W25" t="s">
        <v>33</v>
      </c>
      <c r="X25">
        <v>-2</v>
      </c>
      <c r="Y25">
        <v>659478</v>
      </c>
      <c r="Z25">
        <v>1</v>
      </c>
      <c r="AA25" t="s">
        <v>34</v>
      </c>
      <c r="AB25" t="s">
        <v>35</v>
      </c>
      <c r="AD25" t="s">
        <v>36</v>
      </c>
      <c r="AE25">
        <v>59.921323317268097</v>
      </c>
      <c r="AF25" t="s">
        <v>37</v>
      </c>
    </row>
    <row r="26" spans="1:32" x14ac:dyDescent="0.3">
      <c r="A26">
        <v>24</v>
      </c>
      <c r="B26">
        <v>0</v>
      </c>
      <c r="C26">
        <v>24</v>
      </c>
      <c r="D26" t="s">
        <v>32</v>
      </c>
      <c r="E26">
        <v>1</v>
      </c>
      <c r="F26">
        <v>0.287864900077693</v>
      </c>
      <c r="G26" t="s">
        <v>33</v>
      </c>
      <c r="H26">
        <v>0</v>
      </c>
      <c r="I26">
        <v>24</v>
      </c>
      <c r="J26">
        <v>0</v>
      </c>
      <c r="K26">
        <v>24</v>
      </c>
      <c r="L26">
        <v>0</v>
      </c>
      <c r="M26">
        <v>37.589891399955299</v>
      </c>
      <c r="O26">
        <v>37.573730399948502</v>
      </c>
      <c r="P26">
        <v>37.589891399955299</v>
      </c>
      <c r="Q26">
        <v>38.573275299975599</v>
      </c>
      <c r="R26">
        <v>38.5899842999642</v>
      </c>
      <c r="S26">
        <v>38.873799999943003</v>
      </c>
      <c r="T26" t="s">
        <v>32</v>
      </c>
      <c r="U26">
        <v>1</v>
      </c>
      <c r="V26">
        <v>0.287864900077693</v>
      </c>
      <c r="W26" t="s">
        <v>33</v>
      </c>
      <c r="X26">
        <v>0</v>
      </c>
      <c r="Y26">
        <v>659478</v>
      </c>
      <c r="Z26">
        <v>1</v>
      </c>
      <c r="AA26" t="s">
        <v>34</v>
      </c>
      <c r="AB26" t="s">
        <v>35</v>
      </c>
      <c r="AD26" t="s">
        <v>36</v>
      </c>
      <c r="AE26">
        <v>59.921323317268097</v>
      </c>
      <c r="AF26" t="s">
        <v>37</v>
      </c>
    </row>
    <row r="27" spans="1:32" x14ac:dyDescent="0.3">
      <c r="A27">
        <v>25</v>
      </c>
      <c r="B27">
        <v>0</v>
      </c>
      <c r="C27">
        <v>25</v>
      </c>
      <c r="D27" t="s">
        <v>32</v>
      </c>
      <c r="E27">
        <v>0</v>
      </c>
      <c r="F27">
        <v>0.34917269996367301</v>
      </c>
      <c r="G27" t="s">
        <v>33</v>
      </c>
      <c r="H27">
        <v>-3</v>
      </c>
      <c r="I27">
        <v>25</v>
      </c>
      <c r="J27">
        <v>0</v>
      </c>
      <c r="K27">
        <v>25</v>
      </c>
      <c r="L27">
        <v>0</v>
      </c>
      <c r="M27">
        <v>38.889985899906598</v>
      </c>
      <c r="O27">
        <v>38.8742683999007</v>
      </c>
      <c r="P27">
        <v>38.889985899906598</v>
      </c>
      <c r="Q27">
        <v>39.873125399928497</v>
      </c>
      <c r="R27">
        <v>39.889981399988699</v>
      </c>
      <c r="S27">
        <v>40.223964200005803</v>
      </c>
      <c r="T27" t="s">
        <v>32</v>
      </c>
      <c r="U27">
        <v>0</v>
      </c>
      <c r="V27">
        <v>0.34917269996367301</v>
      </c>
      <c r="W27" t="s">
        <v>33</v>
      </c>
      <c r="X27">
        <v>-3</v>
      </c>
      <c r="Y27">
        <v>659478</v>
      </c>
      <c r="Z27">
        <v>1</v>
      </c>
      <c r="AA27" t="s">
        <v>34</v>
      </c>
      <c r="AB27" t="s">
        <v>35</v>
      </c>
      <c r="AD27" t="s">
        <v>36</v>
      </c>
      <c r="AE27">
        <v>59.921323317268097</v>
      </c>
      <c r="AF27" t="s">
        <v>37</v>
      </c>
    </row>
    <row r="28" spans="1:32" x14ac:dyDescent="0.3">
      <c r="A28">
        <v>26</v>
      </c>
      <c r="B28">
        <v>0</v>
      </c>
      <c r="C28">
        <v>26</v>
      </c>
      <c r="D28" t="s">
        <v>32</v>
      </c>
      <c r="E28">
        <v>1</v>
      </c>
      <c r="F28">
        <v>0.51056980004068397</v>
      </c>
      <c r="G28" t="s">
        <v>33</v>
      </c>
      <c r="H28">
        <v>0</v>
      </c>
      <c r="I28">
        <v>26</v>
      </c>
      <c r="J28">
        <v>0</v>
      </c>
      <c r="K28">
        <v>26</v>
      </c>
      <c r="L28">
        <v>0</v>
      </c>
      <c r="M28">
        <v>40.240021699922998</v>
      </c>
      <c r="O28">
        <v>40.224488399922798</v>
      </c>
      <c r="P28">
        <v>40.240021699922998</v>
      </c>
      <c r="Q28">
        <v>41.223345699952901</v>
      </c>
      <c r="R28">
        <v>41.2399497999576</v>
      </c>
      <c r="S28">
        <v>41.740588099928502</v>
      </c>
      <c r="T28" t="s">
        <v>32</v>
      </c>
      <c r="U28">
        <v>1</v>
      </c>
      <c r="V28">
        <v>0.51056980004068397</v>
      </c>
      <c r="W28" t="s">
        <v>33</v>
      </c>
      <c r="X28">
        <v>0</v>
      </c>
      <c r="Y28">
        <v>659478</v>
      </c>
      <c r="Z28">
        <v>1</v>
      </c>
      <c r="AA28" t="s">
        <v>34</v>
      </c>
      <c r="AB28" t="s">
        <v>35</v>
      </c>
      <c r="AD28" t="s">
        <v>36</v>
      </c>
      <c r="AE28">
        <v>59.921323317268097</v>
      </c>
      <c r="AF28" t="s">
        <v>37</v>
      </c>
    </row>
    <row r="29" spans="1:32" x14ac:dyDescent="0.3">
      <c r="A29">
        <v>27</v>
      </c>
      <c r="B29">
        <v>0</v>
      </c>
      <c r="C29">
        <v>27</v>
      </c>
      <c r="D29" t="s">
        <v>32</v>
      </c>
      <c r="E29">
        <v>0</v>
      </c>
      <c r="F29">
        <v>0.49092180002480701</v>
      </c>
      <c r="G29" t="s">
        <v>33</v>
      </c>
      <c r="H29">
        <v>2</v>
      </c>
      <c r="I29">
        <v>27</v>
      </c>
      <c r="J29">
        <v>0</v>
      </c>
      <c r="K29">
        <v>27</v>
      </c>
      <c r="L29">
        <v>0</v>
      </c>
      <c r="M29">
        <v>41.756617499980997</v>
      </c>
      <c r="O29">
        <v>41.740870999987202</v>
      </c>
      <c r="P29">
        <v>41.756617499980997</v>
      </c>
      <c r="Q29">
        <v>42.740051999920901</v>
      </c>
      <c r="R29">
        <v>42.756801199982803</v>
      </c>
      <c r="S29">
        <v>43.240567600005299</v>
      </c>
      <c r="T29" t="s">
        <v>32</v>
      </c>
      <c r="U29">
        <v>0</v>
      </c>
      <c r="V29">
        <v>0.49092180002480701</v>
      </c>
      <c r="W29" t="s">
        <v>33</v>
      </c>
      <c r="X29">
        <v>2</v>
      </c>
      <c r="Y29">
        <v>659478</v>
      </c>
      <c r="Z29">
        <v>1</v>
      </c>
      <c r="AA29" t="s">
        <v>34</v>
      </c>
      <c r="AB29" t="s">
        <v>35</v>
      </c>
      <c r="AD29" t="s">
        <v>36</v>
      </c>
      <c r="AE29">
        <v>59.921323317268097</v>
      </c>
      <c r="AF29" t="s">
        <v>37</v>
      </c>
    </row>
    <row r="30" spans="1:32" x14ac:dyDescent="0.3">
      <c r="A30">
        <v>28</v>
      </c>
      <c r="B30">
        <v>0</v>
      </c>
      <c r="C30">
        <v>28</v>
      </c>
      <c r="D30" t="s">
        <v>38</v>
      </c>
      <c r="E30">
        <v>0</v>
      </c>
      <c r="F30">
        <v>0.35166829999070598</v>
      </c>
      <c r="G30" t="s">
        <v>33</v>
      </c>
      <c r="H30">
        <v>0</v>
      </c>
      <c r="I30">
        <v>28</v>
      </c>
      <c r="J30">
        <v>0</v>
      </c>
      <c r="K30">
        <v>28</v>
      </c>
      <c r="L30">
        <v>0</v>
      </c>
      <c r="M30">
        <v>43.256780299940097</v>
      </c>
      <c r="O30">
        <v>43.2408320999238</v>
      </c>
      <c r="P30">
        <v>43.256780299940097</v>
      </c>
      <c r="Q30">
        <v>44.240063000004703</v>
      </c>
      <c r="R30">
        <v>44.256775000016198</v>
      </c>
      <c r="S30">
        <v>44.607840399956302</v>
      </c>
      <c r="T30" t="s">
        <v>38</v>
      </c>
      <c r="U30">
        <v>0</v>
      </c>
      <c r="V30">
        <v>0.35166829999070598</v>
      </c>
      <c r="W30" t="s">
        <v>33</v>
      </c>
      <c r="X30">
        <v>0</v>
      </c>
      <c r="Y30">
        <v>659478</v>
      </c>
      <c r="Z30">
        <v>1</v>
      </c>
      <c r="AA30" t="s">
        <v>34</v>
      </c>
      <c r="AB30" t="s">
        <v>35</v>
      </c>
      <c r="AD30" t="s">
        <v>36</v>
      </c>
      <c r="AE30">
        <v>59.921323317268097</v>
      </c>
      <c r="AF30" t="s">
        <v>37</v>
      </c>
    </row>
    <row r="31" spans="1:32" x14ac:dyDescent="0.3">
      <c r="A31">
        <v>29</v>
      </c>
      <c r="B31">
        <v>0</v>
      </c>
      <c r="C31">
        <v>29</v>
      </c>
      <c r="D31" t="s">
        <v>38</v>
      </c>
      <c r="E31">
        <v>0</v>
      </c>
      <c r="F31">
        <v>0.69231060007586998</v>
      </c>
      <c r="G31" t="s">
        <v>33</v>
      </c>
      <c r="H31">
        <v>0</v>
      </c>
      <c r="I31">
        <v>29</v>
      </c>
      <c r="J31">
        <v>0</v>
      </c>
      <c r="K31">
        <v>29</v>
      </c>
      <c r="L31">
        <v>0</v>
      </c>
      <c r="M31">
        <v>44.623469099984497</v>
      </c>
      <c r="O31">
        <v>44.608498099958503</v>
      </c>
      <c r="P31">
        <v>44.623469099984497</v>
      </c>
      <c r="Q31">
        <v>45.623347299988303</v>
      </c>
      <c r="R31">
        <v>45.623347299988303</v>
      </c>
      <c r="S31">
        <v>46.323946399963397</v>
      </c>
      <c r="T31" t="s">
        <v>38</v>
      </c>
      <c r="U31">
        <v>0</v>
      </c>
      <c r="V31">
        <v>0.69231060007586998</v>
      </c>
      <c r="W31" t="s">
        <v>33</v>
      </c>
      <c r="X31">
        <v>0</v>
      </c>
      <c r="Y31">
        <v>659478</v>
      </c>
      <c r="Z31">
        <v>1</v>
      </c>
      <c r="AA31" t="s">
        <v>34</v>
      </c>
      <c r="AB31" t="s">
        <v>35</v>
      </c>
      <c r="AD31" t="s">
        <v>36</v>
      </c>
      <c r="AE31">
        <v>59.921323317268097</v>
      </c>
      <c r="AF31" t="s">
        <v>37</v>
      </c>
    </row>
    <row r="32" spans="1:32" x14ac:dyDescent="0.3">
      <c r="A32">
        <v>30</v>
      </c>
      <c r="B32">
        <v>0</v>
      </c>
      <c r="C32">
        <v>30</v>
      </c>
      <c r="D32" t="s">
        <v>38</v>
      </c>
      <c r="E32">
        <v>0</v>
      </c>
      <c r="F32">
        <v>0.40303440007846802</v>
      </c>
      <c r="G32" t="s">
        <v>33</v>
      </c>
      <c r="H32">
        <v>0</v>
      </c>
      <c r="I32">
        <v>30</v>
      </c>
      <c r="J32">
        <v>0</v>
      </c>
      <c r="K32">
        <v>30</v>
      </c>
      <c r="L32">
        <v>0</v>
      </c>
      <c r="M32">
        <v>46.339982899953597</v>
      </c>
      <c r="O32">
        <v>46.3243710999377</v>
      </c>
      <c r="P32">
        <v>46.339982899953597</v>
      </c>
      <c r="Q32">
        <v>47.323398199980097</v>
      </c>
      <c r="R32">
        <v>47.3399219999555</v>
      </c>
      <c r="S32">
        <v>47.740289999986999</v>
      </c>
      <c r="T32" t="s">
        <v>38</v>
      </c>
      <c r="U32">
        <v>0</v>
      </c>
      <c r="V32">
        <v>0.40303440007846802</v>
      </c>
      <c r="W32" t="s">
        <v>33</v>
      </c>
      <c r="X32">
        <v>0</v>
      </c>
      <c r="Y32">
        <v>659478</v>
      </c>
      <c r="Z32">
        <v>1</v>
      </c>
      <c r="AA32" t="s">
        <v>34</v>
      </c>
      <c r="AB32" t="s">
        <v>35</v>
      </c>
      <c r="AD32" t="s">
        <v>36</v>
      </c>
      <c r="AE32">
        <v>59.921323317268097</v>
      </c>
      <c r="AF32" t="s">
        <v>37</v>
      </c>
    </row>
    <row r="33" spans="1:32" x14ac:dyDescent="0.3">
      <c r="A33">
        <v>31</v>
      </c>
      <c r="B33">
        <v>0</v>
      </c>
      <c r="C33">
        <v>31</v>
      </c>
      <c r="D33" t="s">
        <v>38</v>
      </c>
      <c r="E33">
        <v>1</v>
      </c>
      <c r="F33">
        <v>0.41818509995937297</v>
      </c>
      <c r="G33" t="s">
        <v>33</v>
      </c>
      <c r="H33">
        <v>-2</v>
      </c>
      <c r="I33">
        <v>31</v>
      </c>
      <c r="J33">
        <v>0</v>
      </c>
      <c r="K33">
        <v>31</v>
      </c>
      <c r="L33">
        <v>0</v>
      </c>
      <c r="M33">
        <v>47.756757299997801</v>
      </c>
      <c r="O33">
        <v>47.740599200013001</v>
      </c>
      <c r="P33">
        <v>47.756757299997801</v>
      </c>
      <c r="Q33">
        <v>48.739872999954898</v>
      </c>
      <c r="R33">
        <v>48.756854499923001</v>
      </c>
      <c r="S33">
        <v>49.173361599910997</v>
      </c>
      <c r="T33" t="s">
        <v>38</v>
      </c>
      <c r="U33">
        <v>1</v>
      </c>
      <c r="V33">
        <v>0.41818509995937297</v>
      </c>
      <c r="W33" t="s">
        <v>33</v>
      </c>
      <c r="X33">
        <v>-2</v>
      </c>
      <c r="Y33">
        <v>659478</v>
      </c>
      <c r="Z33">
        <v>1</v>
      </c>
      <c r="AA33" t="s">
        <v>34</v>
      </c>
      <c r="AB33" t="s">
        <v>35</v>
      </c>
      <c r="AD33" t="s">
        <v>36</v>
      </c>
      <c r="AE33">
        <v>59.921323317268097</v>
      </c>
      <c r="AF33" t="s">
        <v>37</v>
      </c>
    </row>
    <row r="34" spans="1:32" x14ac:dyDescent="0.3">
      <c r="A34">
        <v>32</v>
      </c>
      <c r="B34">
        <v>0</v>
      </c>
      <c r="C34">
        <v>32</v>
      </c>
      <c r="D34" t="s">
        <v>38</v>
      </c>
      <c r="E34">
        <v>0</v>
      </c>
      <c r="F34">
        <v>0.32079180004075097</v>
      </c>
      <c r="G34" t="s">
        <v>33</v>
      </c>
      <c r="H34">
        <v>0</v>
      </c>
      <c r="I34">
        <v>32</v>
      </c>
      <c r="J34">
        <v>0</v>
      </c>
      <c r="K34">
        <v>32</v>
      </c>
      <c r="L34">
        <v>0</v>
      </c>
      <c r="M34">
        <v>49.189863199950103</v>
      </c>
      <c r="O34">
        <v>49.173544699908199</v>
      </c>
      <c r="P34">
        <v>49.189863199950103</v>
      </c>
      <c r="Q34">
        <v>50.1732707999181</v>
      </c>
      <c r="R34">
        <v>50.189991099992703</v>
      </c>
      <c r="S34">
        <v>50.506905699963603</v>
      </c>
      <c r="T34" t="s">
        <v>38</v>
      </c>
      <c r="U34">
        <v>0</v>
      </c>
      <c r="V34">
        <v>0.32079180004075097</v>
      </c>
      <c r="W34" t="s">
        <v>33</v>
      </c>
      <c r="X34">
        <v>0</v>
      </c>
      <c r="Y34">
        <v>659478</v>
      </c>
      <c r="Z34">
        <v>1</v>
      </c>
      <c r="AA34" t="s">
        <v>34</v>
      </c>
      <c r="AB34" t="s">
        <v>35</v>
      </c>
      <c r="AD34" t="s">
        <v>36</v>
      </c>
      <c r="AE34">
        <v>59.921323317268097</v>
      </c>
      <c r="AF34" t="s">
        <v>37</v>
      </c>
    </row>
    <row r="35" spans="1:32" x14ac:dyDescent="0.3">
      <c r="A35">
        <v>33</v>
      </c>
      <c r="B35">
        <v>0</v>
      </c>
      <c r="C35">
        <v>33</v>
      </c>
      <c r="D35" t="s">
        <v>38</v>
      </c>
      <c r="E35">
        <v>0</v>
      </c>
      <c r="F35">
        <v>0.35801360011100702</v>
      </c>
      <c r="G35" t="s">
        <v>33</v>
      </c>
      <c r="H35">
        <v>0</v>
      </c>
      <c r="I35">
        <v>33</v>
      </c>
      <c r="J35">
        <v>0</v>
      </c>
      <c r="K35">
        <v>33</v>
      </c>
      <c r="L35">
        <v>0</v>
      </c>
      <c r="M35">
        <v>50.523068299982697</v>
      </c>
      <c r="O35">
        <v>50.507175699924098</v>
      </c>
      <c r="P35">
        <v>50.523068299982697</v>
      </c>
      <c r="Q35">
        <v>51.506779599934802</v>
      </c>
      <c r="R35">
        <v>51.523236399982103</v>
      </c>
      <c r="S35">
        <v>51.874058999935997</v>
      </c>
      <c r="T35" t="s">
        <v>38</v>
      </c>
      <c r="U35">
        <v>0</v>
      </c>
      <c r="V35">
        <v>0.35801360011100702</v>
      </c>
      <c r="W35" t="s">
        <v>33</v>
      </c>
      <c r="X35">
        <v>0</v>
      </c>
      <c r="Y35">
        <v>659478</v>
      </c>
      <c r="Z35">
        <v>1</v>
      </c>
      <c r="AA35" t="s">
        <v>34</v>
      </c>
      <c r="AB35" t="s">
        <v>35</v>
      </c>
      <c r="AD35" t="s">
        <v>36</v>
      </c>
      <c r="AE35">
        <v>59.921323317268097</v>
      </c>
      <c r="AF35" t="s">
        <v>37</v>
      </c>
    </row>
    <row r="36" spans="1:32" x14ac:dyDescent="0.3">
      <c r="A36">
        <v>34</v>
      </c>
      <c r="B36">
        <v>0</v>
      </c>
      <c r="C36">
        <v>34</v>
      </c>
      <c r="D36" t="s">
        <v>38</v>
      </c>
      <c r="E36">
        <v>0</v>
      </c>
      <c r="F36">
        <v>0.173741000005975</v>
      </c>
      <c r="G36" t="s">
        <v>33</v>
      </c>
      <c r="H36">
        <v>0</v>
      </c>
      <c r="I36">
        <v>34</v>
      </c>
      <c r="J36">
        <v>0</v>
      </c>
      <c r="K36">
        <v>34</v>
      </c>
      <c r="L36">
        <v>0</v>
      </c>
      <c r="M36">
        <v>51.889858399983403</v>
      </c>
      <c r="O36">
        <v>51.8745130999013</v>
      </c>
      <c r="P36">
        <v>51.889858399983403</v>
      </c>
      <c r="Q36">
        <v>52.873189899953999</v>
      </c>
      <c r="R36">
        <v>52.889785000006597</v>
      </c>
      <c r="S36">
        <v>53.057028500013899</v>
      </c>
      <c r="T36" t="s">
        <v>38</v>
      </c>
      <c r="U36">
        <v>0</v>
      </c>
      <c r="V36">
        <v>0.173741000005975</v>
      </c>
      <c r="W36" t="s">
        <v>33</v>
      </c>
      <c r="X36">
        <v>0</v>
      </c>
      <c r="Y36">
        <v>659478</v>
      </c>
      <c r="Z36">
        <v>1</v>
      </c>
      <c r="AA36" t="s">
        <v>34</v>
      </c>
      <c r="AB36" t="s">
        <v>35</v>
      </c>
      <c r="AD36" t="s">
        <v>36</v>
      </c>
      <c r="AE36">
        <v>59.921323317268097</v>
      </c>
      <c r="AF36" t="s">
        <v>37</v>
      </c>
    </row>
    <row r="37" spans="1:32" x14ac:dyDescent="0.3">
      <c r="A37">
        <v>35</v>
      </c>
      <c r="B37">
        <v>0</v>
      </c>
      <c r="C37">
        <v>35</v>
      </c>
      <c r="D37" t="s">
        <v>38</v>
      </c>
      <c r="E37">
        <v>0</v>
      </c>
      <c r="F37">
        <v>0.467944800038822</v>
      </c>
      <c r="G37" t="s">
        <v>33</v>
      </c>
      <c r="H37">
        <v>0</v>
      </c>
      <c r="I37">
        <v>35</v>
      </c>
      <c r="J37">
        <v>0</v>
      </c>
      <c r="K37">
        <v>35</v>
      </c>
      <c r="L37">
        <v>0</v>
      </c>
      <c r="M37">
        <v>53.073166399961302</v>
      </c>
      <c r="O37">
        <v>53.057288400013903</v>
      </c>
      <c r="P37">
        <v>53.073166399961302</v>
      </c>
      <c r="Q37">
        <v>54.056719999993199</v>
      </c>
      <c r="R37">
        <v>54.073096800013403</v>
      </c>
      <c r="S37">
        <v>54.540662399958798</v>
      </c>
      <c r="T37" t="s">
        <v>38</v>
      </c>
      <c r="U37">
        <v>0</v>
      </c>
      <c r="V37">
        <v>0.467944800038822</v>
      </c>
      <c r="W37" t="s">
        <v>33</v>
      </c>
      <c r="X37">
        <v>0</v>
      </c>
      <c r="Y37">
        <v>659478</v>
      </c>
      <c r="Z37">
        <v>1</v>
      </c>
      <c r="AA37" t="s">
        <v>34</v>
      </c>
      <c r="AB37" t="s">
        <v>35</v>
      </c>
      <c r="AD37" t="s">
        <v>36</v>
      </c>
      <c r="AE37">
        <v>59.921323317268097</v>
      </c>
      <c r="AF37" t="s">
        <v>37</v>
      </c>
    </row>
    <row r="38" spans="1:32" x14ac:dyDescent="0.3">
      <c r="A38">
        <v>36</v>
      </c>
      <c r="B38">
        <v>0</v>
      </c>
      <c r="C38">
        <v>36</v>
      </c>
      <c r="D38" t="s">
        <v>38</v>
      </c>
      <c r="E38">
        <v>0</v>
      </c>
      <c r="F38">
        <v>0.20664920005947299</v>
      </c>
      <c r="G38" t="s">
        <v>33</v>
      </c>
      <c r="H38">
        <v>0</v>
      </c>
      <c r="I38">
        <v>36</v>
      </c>
      <c r="J38">
        <v>0</v>
      </c>
      <c r="K38">
        <v>36</v>
      </c>
      <c r="L38">
        <v>0</v>
      </c>
      <c r="M38">
        <v>54.5565687000053</v>
      </c>
      <c r="O38">
        <v>54.541184999979997</v>
      </c>
      <c r="P38">
        <v>54.5565687000053</v>
      </c>
      <c r="Q38">
        <v>55.539936399902203</v>
      </c>
      <c r="R38">
        <v>55.556780699989702</v>
      </c>
      <c r="S38">
        <v>55.757295099901903</v>
      </c>
      <c r="T38" t="s">
        <v>38</v>
      </c>
      <c r="U38">
        <v>0</v>
      </c>
      <c r="V38">
        <v>0.20664920005947299</v>
      </c>
      <c r="W38" t="s">
        <v>33</v>
      </c>
      <c r="X38">
        <v>0</v>
      </c>
      <c r="Y38">
        <v>659478</v>
      </c>
      <c r="Z38">
        <v>1</v>
      </c>
      <c r="AA38" t="s">
        <v>34</v>
      </c>
      <c r="AB38" t="s">
        <v>35</v>
      </c>
      <c r="AD38" t="s">
        <v>36</v>
      </c>
      <c r="AE38">
        <v>59.921323317268097</v>
      </c>
      <c r="AF38" t="s">
        <v>37</v>
      </c>
    </row>
    <row r="39" spans="1:32" x14ac:dyDescent="0.3">
      <c r="A39">
        <v>37</v>
      </c>
      <c r="B39">
        <v>0</v>
      </c>
      <c r="C39">
        <v>37</v>
      </c>
      <c r="D39" t="s">
        <v>38</v>
      </c>
      <c r="E39">
        <v>1</v>
      </c>
      <c r="F39">
        <v>0.24709649989381399</v>
      </c>
      <c r="G39" t="s">
        <v>33</v>
      </c>
      <c r="H39">
        <v>-3</v>
      </c>
      <c r="I39">
        <v>37</v>
      </c>
      <c r="J39">
        <v>0</v>
      </c>
      <c r="K39">
        <v>37</v>
      </c>
      <c r="L39">
        <v>0</v>
      </c>
      <c r="M39">
        <v>55.773175999987799</v>
      </c>
      <c r="O39">
        <v>55.757579399971199</v>
      </c>
      <c r="P39">
        <v>55.773175999987799</v>
      </c>
      <c r="Q39">
        <v>56.756648599984999</v>
      </c>
      <c r="R39">
        <v>56.773188699968102</v>
      </c>
      <c r="S39">
        <v>57.007215899997298</v>
      </c>
      <c r="T39" t="s">
        <v>38</v>
      </c>
      <c r="U39">
        <v>1</v>
      </c>
      <c r="V39">
        <v>0.24709649989381399</v>
      </c>
      <c r="W39" t="s">
        <v>33</v>
      </c>
      <c r="X39">
        <v>-3</v>
      </c>
      <c r="Y39">
        <v>659478</v>
      </c>
      <c r="Z39">
        <v>1</v>
      </c>
      <c r="AA39" t="s">
        <v>34</v>
      </c>
      <c r="AB39" t="s">
        <v>35</v>
      </c>
      <c r="AD39" t="s">
        <v>36</v>
      </c>
      <c r="AE39">
        <v>59.921323317268097</v>
      </c>
      <c r="AF39" t="s">
        <v>37</v>
      </c>
    </row>
    <row r="40" spans="1:32" x14ac:dyDescent="0.3">
      <c r="A40">
        <v>38</v>
      </c>
      <c r="B40">
        <v>0</v>
      </c>
      <c r="C40">
        <v>38</v>
      </c>
      <c r="D40" t="s">
        <v>38</v>
      </c>
      <c r="E40">
        <v>1</v>
      </c>
      <c r="F40">
        <v>0.40487050008960002</v>
      </c>
      <c r="G40" t="s">
        <v>33</v>
      </c>
      <c r="H40">
        <v>-2</v>
      </c>
      <c r="I40">
        <v>38</v>
      </c>
      <c r="J40">
        <v>0</v>
      </c>
      <c r="K40">
        <v>38</v>
      </c>
      <c r="L40">
        <v>0</v>
      </c>
      <c r="M40">
        <v>57.0233016000129</v>
      </c>
      <c r="O40">
        <v>57.007686499971797</v>
      </c>
      <c r="P40">
        <v>57.0233016000129</v>
      </c>
      <c r="Q40">
        <v>58.006705299951101</v>
      </c>
      <c r="R40">
        <v>58.023229399928802</v>
      </c>
      <c r="S40">
        <v>58.424035999923902</v>
      </c>
      <c r="T40" t="s">
        <v>38</v>
      </c>
      <c r="U40">
        <v>1</v>
      </c>
      <c r="V40">
        <v>0.40487050008960002</v>
      </c>
      <c r="W40" t="s">
        <v>33</v>
      </c>
      <c r="X40">
        <v>-2</v>
      </c>
      <c r="Y40">
        <v>659478</v>
      </c>
      <c r="Z40">
        <v>1</v>
      </c>
      <c r="AA40" t="s">
        <v>34</v>
      </c>
      <c r="AB40" t="s">
        <v>35</v>
      </c>
      <c r="AD40" t="s">
        <v>36</v>
      </c>
      <c r="AE40">
        <v>59.921323317268097</v>
      </c>
      <c r="AF40" t="s">
        <v>37</v>
      </c>
    </row>
    <row r="41" spans="1:32" x14ac:dyDescent="0.3">
      <c r="A41">
        <v>39</v>
      </c>
      <c r="B41">
        <v>0</v>
      </c>
      <c r="C41">
        <v>39</v>
      </c>
      <c r="D41" t="s">
        <v>38</v>
      </c>
      <c r="E41">
        <v>0</v>
      </c>
      <c r="F41">
        <v>0.19384279998484999</v>
      </c>
      <c r="G41" t="s">
        <v>33</v>
      </c>
      <c r="H41">
        <v>0</v>
      </c>
      <c r="I41">
        <v>39</v>
      </c>
      <c r="J41">
        <v>0</v>
      </c>
      <c r="K41">
        <v>39</v>
      </c>
      <c r="L41">
        <v>0</v>
      </c>
      <c r="M41">
        <v>58.439854500000301</v>
      </c>
      <c r="O41">
        <v>58.424214900005602</v>
      </c>
      <c r="P41">
        <v>58.439854500000301</v>
      </c>
      <c r="Q41">
        <v>59.423187199979999</v>
      </c>
      <c r="R41">
        <v>59.440025499905403</v>
      </c>
      <c r="S41">
        <v>59.623912499984698</v>
      </c>
      <c r="T41" t="s">
        <v>38</v>
      </c>
      <c r="U41">
        <v>0</v>
      </c>
      <c r="V41">
        <v>0.19384279998484999</v>
      </c>
      <c r="W41" t="s">
        <v>33</v>
      </c>
      <c r="X41">
        <v>0</v>
      </c>
      <c r="Y41">
        <v>659478</v>
      </c>
      <c r="Z41">
        <v>1</v>
      </c>
      <c r="AA41" t="s">
        <v>34</v>
      </c>
      <c r="AB41" t="s">
        <v>35</v>
      </c>
      <c r="AD41" t="s">
        <v>36</v>
      </c>
      <c r="AE41">
        <v>59.921323317268097</v>
      </c>
      <c r="AF41" t="s">
        <v>37</v>
      </c>
    </row>
    <row r="42" spans="1:32" x14ac:dyDescent="0.3">
      <c r="A42">
        <v>40</v>
      </c>
      <c r="B42">
        <v>0</v>
      </c>
      <c r="C42">
        <v>40</v>
      </c>
      <c r="D42" t="s">
        <v>38</v>
      </c>
      <c r="E42">
        <v>1</v>
      </c>
      <c r="F42">
        <v>0.63547460001427603</v>
      </c>
      <c r="G42" t="s">
        <v>33</v>
      </c>
      <c r="H42">
        <v>2</v>
      </c>
      <c r="I42">
        <v>40</v>
      </c>
      <c r="J42">
        <v>0</v>
      </c>
      <c r="K42">
        <v>40</v>
      </c>
      <c r="L42">
        <v>0</v>
      </c>
      <c r="M42">
        <v>59.639726399909698</v>
      </c>
      <c r="O42">
        <v>59.624329400015903</v>
      </c>
      <c r="P42">
        <v>59.639726399909698</v>
      </c>
      <c r="Q42">
        <v>60.623184699914397</v>
      </c>
      <c r="R42">
        <v>60.6399810999864</v>
      </c>
      <c r="S42">
        <v>61.273235199972902</v>
      </c>
      <c r="T42" t="s">
        <v>38</v>
      </c>
      <c r="U42">
        <v>1</v>
      </c>
      <c r="V42">
        <v>0.63547460001427603</v>
      </c>
      <c r="W42" t="s">
        <v>33</v>
      </c>
      <c r="X42">
        <v>2</v>
      </c>
      <c r="Y42">
        <v>659478</v>
      </c>
      <c r="Z42">
        <v>1</v>
      </c>
      <c r="AA42" t="s">
        <v>34</v>
      </c>
      <c r="AB42" t="s">
        <v>35</v>
      </c>
      <c r="AD42" t="s">
        <v>36</v>
      </c>
      <c r="AE42">
        <v>59.921323317268097</v>
      </c>
      <c r="AF42" t="s">
        <v>37</v>
      </c>
    </row>
    <row r="43" spans="1:32" x14ac:dyDescent="0.3">
      <c r="A43">
        <v>41</v>
      </c>
      <c r="B43">
        <v>0</v>
      </c>
      <c r="C43">
        <v>41</v>
      </c>
      <c r="D43" t="s">
        <v>38</v>
      </c>
      <c r="E43">
        <v>1</v>
      </c>
      <c r="F43">
        <v>0.32084090006537702</v>
      </c>
      <c r="G43" t="s">
        <v>33</v>
      </c>
      <c r="H43">
        <v>2</v>
      </c>
      <c r="I43">
        <v>41</v>
      </c>
      <c r="J43">
        <v>0</v>
      </c>
      <c r="K43">
        <v>41</v>
      </c>
      <c r="L43">
        <v>0</v>
      </c>
      <c r="M43">
        <v>61.289691699901503</v>
      </c>
      <c r="O43">
        <v>61.273482699994901</v>
      </c>
      <c r="P43">
        <v>61.289691699901503</v>
      </c>
      <c r="Q43">
        <v>62.322760300012298</v>
      </c>
      <c r="R43">
        <v>62.322760300012298</v>
      </c>
      <c r="S43">
        <v>62.657155599910702</v>
      </c>
      <c r="T43" t="s">
        <v>38</v>
      </c>
      <c r="U43">
        <v>1</v>
      </c>
      <c r="V43">
        <v>0.32084090006537702</v>
      </c>
      <c r="W43" t="s">
        <v>33</v>
      </c>
      <c r="X43">
        <v>2</v>
      </c>
      <c r="Y43">
        <v>659478</v>
      </c>
      <c r="Z43">
        <v>1</v>
      </c>
      <c r="AA43" t="s">
        <v>34</v>
      </c>
      <c r="AB43" t="s">
        <v>35</v>
      </c>
      <c r="AD43" t="s">
        <v>36</v>
      </c>
      <c r="AE43">
        <v>59.921323317268097</v>
      </c>
      <c r="AF43" t="s">
        <v>37</v>
      </c>
    </row>
    <row r="44" spans="1:32" x14ac:dyDescent="0.3">
      <c r="A44">
        <v>42</v>
      </c>
      <c r="B44">
        <v>0</v>
      </c>
      <c r="C44">
        <v>42</v>
      </c>
      <c r="D44" t="s">
        <v>38</v>
      </c>
      <c r="E44">
        <v>0</v>
      </c>
      <c r="F44">
        <v>0.78555679996497896</v>
      </c>
      <c r="G44" t="s">
        <v>33</v>
      </c>
      <c r="H44">
        <v>0</v>
      </c>
      <c r="I44">
        <v>42</v>
      </c>
      <c r="J44">
        <v>0</v>
      </c>
      <c r="K44">
        <v>42</v>
      </c>
      <c r="L44">
        <v>0</v>
      </c>
      <c r="M44">
        <v>62.673229999956597</v>
      </c>
      <c r="O44">
        <v>62.657502199988798</v>
      </c>
      <c r="P44">
        <v>62.673229999956597</v>
      </c>
      <c r="Q44">
        <v>63.656502899946602</v>
      </c>
      <c r="R44">
        <v>63.673157699988202</v>
      </c>
      <c r="S44">
        <v>64.457048899959702</v>
      </c>
      <c r="T44" t="s">
        <v>38</v>
      </c>
      <c r="U44">
        <v>0</v>
      </c>
      <c r="V44">
        <v>0.78555679996497896</v>
      </c>
      <c r="W44" t="s">
        <v>33</v>
      </c>
      <c r="X44">
        <v>0</v>
      </c>
      <c r="Y44">
        <v>659478</v>
      </c>
      <c r="Z44">
        <v>1</v>
      </c>
      <c r="AA44" t="s">
        <v>34</v>
      </c>
      <c r="AB44" t="s">
        <v>35</v>
      </c>
      <c r="AD44" t="s">
        <v>36</v>
      </c>
      <c r="AE44">
        <v>59.921323317268097</v>
      </c>
      <c r="AF44" t="s">
        <v>37</v>
      </c>
    </row>
    <row r="45" spans="1:32" x14ac:dyDescent="0.3">
      <c r="A45">
        <v>43</v>
      </c>
      <c r="B45">
        <v>0</v>
      </c>
      <c r="C45">
        <v>43</v>
      </c>
      <c r="D45" t="s">
        <v>32</v>
      </c>
      <c r="E45">
        <v>0</v>
      </c>
      <c r="F45">
        <v>2.57148999953642E-2</v>
      </c>
      <c r="G45" t="s">
        <v>33</v>
      </c>
      <c r="H45">
        <v>2</v>
      </c>
      <c r="I45">
        <v>43</v>
      </c>
      <c r="J45">
        <v>0</v>
      </c>
      <c r="K45">
        <v>43</v>
      </c>
      <c r="L45">
        <v>0</v>
      </c>
      <c r="M45">
        <v>64.473369799903594</v>
      </c>
      <c r="O45">
        <v>64.4576096999226</v>
      </c>
      <c r="P45">
        <v>64.473369799903594</v>
      </c>
      <c r="Q45">
        <v>65.456313999951803</v>
      </c>
      <c r="R45">
        <v>65.473130499944006</v>
      </c>
      <c r="S45">
        <v>65.490462799905799</v>
      </c>
      <c r="T45" t="s">
        <v>32</v>
      </c>
      <c r="U45">
        <v>0</v>
      </c>
      <c r="V45">
        <v>2.57148999953642E-2</v>
      </c>
      <c r="W45" t="s">
        <v>33</v>
      </c>
      <c r="X45">
        <v>2</v>
      </c>
      <c r="Y45">
        <v>659478</v>
      </c>
      <c r="Z45">
        <v>1</v>
      </c>
      <c r="AA45" t="s">
        <v>34</v>
      </c>
      <c r="AB45" t="s">
        <v>35</v>
      </c>
      <c r="AD45" t="s">
        <v>36</v>
      </c>
      <c r="AE45">
        <v>59.921323317268097</v>
      </c>
      <c r="AF45" t="s">
        <v>37</v>
      </c>
    </row>
    <row r="46" spans="1:32" x14ac:dyDescent="0.3">
      <c r="A46">
        <v>44</v>
      </c>
      <c r="B46">
        <v>0</v>
      </c>
      <c r="C46">
        <v>44</v>
      </c>
      <c r="D46" t="s">
        <v>32</v>
      </c>
      <c r="E46">
        <v>1</v>
      </c>
      <c r="F46">
        <v>0.205605199909769</v>
      </c>
      <c r="G46" t="s">
        <v>33</v>
      </c>
      <c r="H46">
        <v>0</v>
      </c>
      <c r="I46">
        <v>44</v>
      </c>
      <c r="J46">
        <v>0</v>
      </c>
      <c r="K46">
        <v>44</v>
      </c>
      <c r="L46">
        <v>0</v>
      </c>
      <c r="M46">
        <v>65.506387199973602</v>
      </c>
      <c r="O46">
        <v>65.490828500012796</v>
      </c>
      <c r="P46">
        <v>65.506387199973602</v>
      </c>
      <c r="Q46">
        <v>66.490251799928899</v>
      </c>
      <c r="R46">
        <v>66.506542999995801</v>
      </c>
      <c r="S46">
        <v>66.706967199919703</v>
      </c>
      <c r="T46" t="s">
        <v>32</v>
      </c>
      <c r="U46">
        <v>1</v>
      </c>
      <c r="V46">
        <v>0.205605199909769</v>
      </c>
      <c r="W46" t="s">
        <v>33</v>
      </c>
      <c r="X46">
        <v>0</v>
      </c>
      <c r="Y46">
        <v>659478</v>
      </c>
      <c r="Z46">
        <v>1</v>
      </c>
      <c r="AA46" t="s">
        <v>34</v>
      </c>
      <c r="AB46" t="s">
        <v>35</v>
      </c>
      <c r="AD46" t="s">
        <v>36</v>
      </c>
      <c r="AE46">
        <v>59.921323317268097</v>
      </c>
      <c r="AF46" t="s">
        <v>37</v>
      </c>
    </row>
    <row r="47" spans="1:32" x14ac:dyDescent="0.3">
      <c r="A47">
        <v>45</v>
      </c>
      <c r="B47">
        <v>0</v>
      </c>
      <c r="C47">
        <v>45</v>
      </c>
      <c r="D47" t="s">
        <v>32</v>
      </c>
      <c r="E47">
        <v>1</v>
      </c>
      <c r="F47">
        <v>0.31414549995679403</v>
      </c>
      <c r="G47" t="s">
        <v>33</v>
      </c>
      <c r="H47">
        <v>0</v>
      </c>
      <c r="I47">
        <v>45</v>
      </c>
      <c r="J47">
        <v>0</v>
      </c>
      <c r="K47">
        <v>45</v>
      </c>
      <c r="L47">
        <v>0</v>
      </c>
      <c r="M47">
        <v>66.723372799926395</v>
      </c>
      <c r="O47">
        <v>66.707303799921604</v>
      </c>
      <c r="P47">
        <v>66.723372799926395</v>
      </c>
      <c r="Q47">
        <v>67.706575699965398</v>
      </c>
      <c r="R47">
        <v>67.723382299998704</v>
      </c>
      <c r="S47">
        <v>68.023872399935499</v>
      </c>
      <c r="T47" t="s">
        <v>32</v>
      </c>
      <c r="U47">
        <v>1</v>
      </c>
      <c r="V47">
        <v>0.31414549995679403</v>
      </c>
      <c r="W47" t="s">
        <v>33</v>
      </c>
      <c r="X47">
        <v>0</v>
      </c>
      <c r="Y47">
        <v>659478</v>
      </c>
      <c r="Z47">
        <v>1</v>
      </c>
      <c r="AA47" t="s">
        <v>34</v>
      </c>
      <c r="AB47" t="s">
        <v>35</v>
      </c>
      <c r="AD47" t="s">
        <v>36</v>
      </c>
      <c r="AE47">
        <v>59.921323317268097</v>
      </c>
      <c r="AF47" t="s">
        <v>37</v>
      </c>
    </row>
    <row r="48" spans="1:32" x14ac:dyDescent="0.3">
      <c r="A48">
        <v>46</v>
      </c>
      <c r="B48">
        <v>0</v>
      </c>
      <c r="C48">
        <v>46</v>
      </c>
      <c r="D48" t="s">
        <v>32</v>
      </c>
      <c r="E48">
        <v>0</v>
      </c>
      <c r="F48">
        <v>0.46537360001820999</v>
      </c>
      <c r="G48" t="s">
        <v>33</v>
      </c>
      <c r="H48">
        <v>-3</v>
      </c>
      <c r="I48">
        <v>46</v>
      </c>
      <c r="J48">
        <v>0</v>
      </c>
      <c r="K48">
        <v>46</v>
      </c>
      <c r="L48">
        <v>0</v>
      </c>
      <c r="M48">
        <v>68.040130199980894</v>
      </c>
      <c r="O48">
        <v>68.024197199963893</v>
      </c>
      <c r="P48">
        <v>68.040130199980894</v>
      </c>
      <c r="Q48">
        <v>69.023248999961595</v>
      </c>
      <c r="R48">
        <v>69.039932799991206</v>
      </c>
      <c r="S48">
        <v>69.490414800005894</v>
      </c>
      <c r="T48" t="s">
        <v>32</v>
      </c>
      <c r="U48">
        <v>0</v>
      </c>
      <c r="V48">
        <v>0.46537360001820999</v>
      </c>
      <c r="W48" t="s">
        <v>33</v>
      </c>
      <c r="X48">
        <v>-3</v>
      </c>
      <c r="Y48">
        <v>659478</v>
      </c>
      <c r="Z48">
        <v>1</v>
      </c>
      <c r="AA48" t="s">
        <v>34</v>
      </c>
      <c r="AB48" t="s">
        <v>35</v>
      </c>
      <c r="AD48" t="s">
        <v>36</v>
      </c>
      <c r="AE48">
        <v>59.921323317268097</v>
      </c>
      <c r="AF48" t="s">
        <v>37</v>
      </c>
    </row>
    <row r="49" spans="1:32" x14ac:dyDescent="0.3">
      <c r="A49">
        <v>47</v>
      </c>
      <c r="B49">
        <v>0</v>
      </c>
      <c r="C49">
        <v>47</v>
      </c>
      <c r="D49" t="s">
        <v>32</v>
      </c>
      <c r="E49">
        <v>0</v>
      </c>
      <c r="F49">
        <v>5.83406999940052E-2</v>
      </c>
      <c r="G49" t="s">
        <v>33</v>
      </c>
      <c r="H49">
        <v>-2</v>
      </c>
      <c r="I49">
        <v>47</v>
      </c>
      <c r="J49">
        <v>0</v>
      </c>
      <c r="K49">
        <v>47</v>
      </c>
      <c r="L49">
        <v>0</v>
      </c>
      <c r="M49">
        <v>69.506421199999707</v>
      </c>
      <c r="O49">
        <v>69.490642099990495</v>
      </c>
      <c r="P49">
        <v>69.506421199999707</v>
      </c>
      <c r="Q49">
        <v>70.489851399906897</v>
      </c>
      <c r="R49">
        <v>70.506643599946898</v>
      </c>
      <c r="S49">
        <v>70.557141699944594</v>
      </c>
      <c r="T49" t="s">
        <v>32</v>
      </c>
      <c r="U49">
        <v>0</v>
      </c>
      <c r="V49">
        <v>5.83406999940052E-2</v>
      </c>
      <c r="W49" t="s">
        <v>33</v>
      </c>
      <c r="X49">
        <v>-2</v>
      </c>
      <c r="Y49">
        <v>659478</v>
      </c>
      <c r="Z49">
        <v>1</v>
      </c>
      <c r="AA49" t="s">
        <v>34</v>
      </c>
      <c r="AB49" t="s">
        <v>35</v>
      </c>
      <c r="AD49" t="s">
        <v>36</v>
      </c>
      <c r="AE49">
        <v>59.921323317268097</v>
      </c>
      <c r="AF49" t="s">
        <v>37</v>
      </c>
    </row>
    <row r="50" spans="1:32" x14ac:dyDescent="0.3">
      <c r="A50">
        <v>48</v>
      </c>
      <c r="B50">
        <v>0</v>
      </c>
      <c r="C50">
        <v>48</v>
      </c>
      <c r="D50" t="s">
        <v>32</v>
      </c>
      <c r="E50">
        <v>1</v>
      </c>
      <c r="F50">
        <v>0.82232649996876706</v>
      </c>
      <c r="G50" t="s">
        <v>33</v>
      </c>
      <c r="H50">
        <v>0</v>
      </c>
      <c r="I50">
        <v>48</v>
      </c>
      <c r="J50">
        <v>0</v>
      </c>
      <c r="K50">
        <v>48</v>
      </c>
      <c r="L50">
        <v>0</v>
      </c>
      <c r="M50">
        <v>70.573179399943896</v>
      </c>
      <c r="O50">
        <v>70.557459999923594</v>
      </c>
      <c r="P50">
        <v>70.573179399943896</v>
      </c>
      <c r="Q50">
        <v>71.556320999981807</v>
      </c>
      <c r="R50">
        <v>71.573200299986595</v>
      </c>
      <c r="S50">
        <v>72.390341399936005</v>
      </c>
      <c r="T50" t="s">
        <v>32</v>
      </c>
      <c r="U50">
        <v>1</v>
      </c>
      <c r="V50">
        <v>0.82232649996876706</v>
      </c>
      <c r="W50" t="s">
        <v>33</v>
      </c>
      <c r="X50">
        <v>0</v>
      </c>
      <c r="Y50">
        <v>659478</v>
      </c>
      <c r="Z50">
        <v>1</v>
      </c>
      <c r="AA50" t="s">
        <v>34</v>
      </c>
      <c r="AB50" t="s">
        <v>35</v>
      </c>
      <c r="AD50" t="s">
        <v>36</v>
      </c>
      <c r="AE50">
        <v>59.921323317268097</v>
      </c>
      <c r="AF50" t="s">
        <v>37</v>
      </c>
    </row>
    <row r="51" spans="1:32" x14ac:dyDescent="0.3">
      <c r="A51">
        <v>49</v>
      </c>
      <c r="B51">
        <v>0</v>
      </c>
      <c r="C51">
        <v>49</v>
      </c>
      <c r="D51" t="s">
        <v>32</v>
      </c>
      <c r="E51">
        <v>0</v>
      </c>
      <c r="F51">
        <v>1.43040409998502</v>
      </c>
      <c r="G51" t="s">
        <v>33</v>
      </c>
      <c r="H51">
        <v>-3</v>
      </c>
      <c r="I51">
        <v>49</v>
      </c>
      <c r="J51">
        <v>0</v>
      </c>
      <c r="K51">
        <v>49</v>
      </c>
      <c r="L51">
        <v>0</v>
      </c>
      <c r="M51">
        <v>72.406491299974704</v>
      </c>
      <c r="O51">
        <v>72.390632899943697</v>
      </c>
      <c r="P51">
        <v>72.406491299974704</v>
      </c>
      <c r="Q51">
        <v>73.390118599985698</v>
      </c>
      <c r="R51">
        <v>73.4066197999054</v>
      </c>
      <c r="S51">
        <v>74.823519799974704</v>
      </c>
      <c r="T51" t="s">
        <v>32</v>
      </c>
      <c r="U51">
        <v>0</v>
      </c>
      <c r="V51">
        <v>1.43040409998502</v>
      </c>
      <c r="W51" t="s">
        <v>33</v>
      </c>
      <c r="X51">
        <v>-3</v>
      </c>
      <c r="Y51">
        <v>659478</v>
      </c>
      <c r="Z51">
        <v>1</v>
      </c>
      <c r="AA51" t="s">
        <v>34</v>
      </c>
      <c r="AB51" t="s">
        <v>35</v>
      </c>
      <c r="AD51" t="s">
        <v>36</v>
      </c>
      <c r="AE51">
        <v>59.921323317268097</v>
      </c>
      <c r="AF51" t="s">
        <v>37</v>
      </c>
    </row>
    <row r="52" spans="1:32" x14ac:dyDescent="0.3">
      <c r="A52">
        <v>50</v>
      </c>
      <c r="B52">
        <v>0</v>
      </c>
      <c r="C52">
        <v>50</v>
      </c>
      <c r="D52" t="s">
        <v>32</v>
      </c>
      <c r="E52">
        <v>0</v>
      </c>
      <c r="F52">
        <v>0.60575330001301997</v>
      </c>
      <c r="G52" t="s">
        <v>33</v>
      </c>
      <c r="H52">
        <v>-2</v>
      </c>
      <c r="I52">
        <v>50</v>
      </c>
      <c r="J52">
        <v>0</v>
      </c>
      <c r="K52">
        <v>50</v>
      </c>
      <c r="L52">
        <v>0</v>
      </c>
      <c r="M52">
        <v>74.839811699930493</v>
      </c>
      <c r="O52">
        <v>74.823733799974406</v>
      </c>
      <c r="P52">
        <v>74.839811699930493</v>
      </c>
      <c r="Q52">
        <v>75.823091199970804</v>
      </c>
      <c r="R52">
        <v>75.839949999935897</v>
      </c>
      <c r="S52">
        <v>76.440453999908598</v>
      </c>
      <c r="T52" t="s">
        <v>32</v>
      </c>
      <c r="U52">
        <v>0</v>
      </c>
      <c r="V52">
        <v>0.60575330001301997</v>
      </c>
      <c r="W52" t="s">
        <v>33</v>
      </c>
      <c r="X52">
        <v>-2</v>
      </c>
      <c r="Y52">
        <v>659478</v>
      </c>
      <c r="Z52">
        <v>1</v>
      </c>
      <c r="AA52" t="s">
        <v>34</v>
      </c>
      <c r="AB52" t="s">
        <v>35</v>
      </c>
      <c r="AD52" t="s">
        <v>36</v>
      </c>
      <c r="AE52">
        <v>59.921323317268097</v>
      </c>
      <c r="AF52" t="s">
        <v>37</v>
      </c>
    </row>
    <row r="53" spans="1:32" x14ac:dyDescent="0.3">
      <c r="A53">
        <v>51</v>
      </c>
      <c r="B53">
        <v>0</v>
      </c>
      <c r="C53">
        <v>51</v>
      </c>
      <c r="D53" t="s">
        <v>32</v>
      </c>
      <c r="E53">
        <v>1</v>
      </c>
      <c r="F53">
        <v>0.34673560003284298</v>
      </c>
      <c r="G53" t="s">
        <v>33</v>
      </c>
      <c r="H53">
        <v>0</v>
      </c>
      <c r="I53">
        <v>51</v>
      </c>
      <c r="J53">
        <v>0</v>
      </c>
      <c r="K53">
        <v>51</v>
      </c>
      <c r="L53">
        <v>0</v>
      </c>
      <c r="M53">
        <v>76.456873699906197</v>
      </c>
      <c r="O53">
        <v>76.4407988999737</v>
      </c>
      <c r="P53">
        <v>76.456873699906197</v>
      </c>
      <c r="Q53">
        <v>77.440005599986705</v>
      </c>
      <c r="R53">
        <v>77.456609899992998</v>
      </c>
      <c r="S53">
        <v>77.790147099993106</v>
      </c>
      <c r="T53" t="s">
        <v>32</v>
      </c>
      <c r="U53">
        <v>1</v>
      </c>
      <c r="V53">
        <v>0.34673560003284298</v>
      </c>
      <c r="W53" t="s">
        <v>33</v>
      </c>
      <c r="X53">
        <v>0</v>
      </c>
      <c r="Y53">
        <v>659478</v>
      </c>
      <c r="Z53">
        <v>1</v>
      </c>
      <c r="AA53" t="s">
        <v>34</v>
      </c>
      <c r="AB53" t="s">
        <v>35</v>
      </c>
      <c r="AD53" t="s">
        <v>36</v>
      </c>
      <c r="AE53">
        <v>59.921323317268097</v>
      </c>
      <c r="AF53" t="s">
        <v>37</v>
      </c>
    </row>
    <row r="54" spans="1:32" x14ac:dyDescent="0.3">
      <c r="A54">
        <v>52</v>
      </c>
      <c r="B54">
        <v>0</v>
      </c>
      <c r="C54">
        <v>52</v>
      </c>
      <c r="D54" t="s">
        <v>32</v>
      </c>
      <c r="E54">
        <v>0</v>
      </c>
      <c r="F54">
        <v>0.55712460004724496</v>
      </c>
      <c r="G54" t="s">
        <v>33</v>
      </c>
      <c r="H54">
        <v>1</v>
      </c>
      <c r="I54">
        <v>52</v>
      </c>
      <c r="J54">
        <v>0</v>
      </c>
      <c r="K54">
        <v>52</v>
      </c>
      <c r="L54">
        <v>0</v>
      </c>
      <c r="M54">
        <v>77.806383199989796</v>
      </c>
      <c r="O54">
        <v>77.790454700007103</v>
      </c>
      <c r="P54">
        <v>77.806383199989796</v>
      </c>
      <c r="Q54">
        <v>78.790509099955599</v>
      </c>
      <c r="R54">
        <v>78.806536499992902</v>
      </c>
      <c r="S54">
        <v>79.357265600003302</v>
      </c>
      <c r="T54" t="s">
        <v>32</v>
      </c>
      <c r="U54">
        <v>0</v>
      </c>
      <c r="V54">
        <v>0.55712460004724496</v>
      </c>
      <c r="W54" t="s">
        <v>33</v>
      </c>
      <c r="X54">
        <v>1</v>
      </c>
      <c r="Y54">
        <v>659478</v>
      </c>
      <c r="Z54">
        <v>1</v>
      </c>
      <c r="AA54" t="s">
        <v>34</v>
      </c>
      <c r="AB54" t="s">
        <v>35</v>
      </c>
      <c r="AD54" t="s">
        <v>36</v>
      </c>
      <c r="AE54">
        <v>59.921323317268097</v>
      </c>
      <c r="AF54" t="s">
        <v>37</v>
      </c>
    </row>
    <row r="55" spans="1:32" x14ac:dyDescent="0.3">
      <c r="A55">
        <v>53</v>
      </c>
      <c r="B55">
        <v>0</v>
      </c>
      <c r="C55">
        <v>53</v>
      </c>
      <c r="D55" t="s">
        <v>32</v>
      </c>
      <c r="E55">
        <v>1</v>
      </c>
      <c r="F55">
        <v>0.51163059996906601</v>
      </c>
      <c r="G55" t="s">
        <v>33</v>
      </c>
      <c r="H55">
        <v>0</v>
      </c>
      <c r="I55">
        <v>53</v>
      </c>
      <c r="J55">
        <v>0</v>
      </c>
      <c r="K55">
        <v>53</v>
      </c>
      <c r="L55">
        <v>0</v>
      </c>
      <c r="M55">
        <v>79.373123099910998</v>
      </c>
      <c r="O55">
        <v>79.357763099949807</v>
      </c>
      <c r="P55">
        <v>79.373123099910998</v>
      </c>
      <c r="Q55">
        <v>80.356236999970804</v>
      </c>
      <c r="R55">
        <v>80.373148599988696</v>
      </c>
      <c r="S55">
        <v>80.873538999934595</v>
      </c>
      <c r="T55" t="s">
        <v>32</v>
      </c>
      <c r="U55">
        <v>1</v>
      </c>
      <c r="V55">
        <v>0.51163059996906601</v>
      </c>
      <c r="W55" t="s">
        <v>33</v>
      </c>
      <c r="X55">
        <v>0</v>
      </c>
      <c r="Y55">
        <v>659478</v>
      </c>
      <c r="Z55">
        <v>1</v>
      </c>
      <c r="AA55" t="s">
        <v>34</v>
      </c>
      <c r="AB55" t="s">
        <v>35</v>
      </c>
      <c r="AD55" t="s">
        <v>36</v>
      </c>
      <c r="AE55">
        <v>59.921323317268097</v>
      </c>
      <c r="AF55" t="s">
        <v>37</v>
      </c>
    </row>
    <row r="56" spans="1:32" x14ac:dyDescent="0.3">
      <c r="A56">
        <v>54</v>
      </c>
      <c r="B56">
        <v>0</v>
      </c>
      <c r="C56">
        <v>54</v>
      </c>
      <c r="D56" t="s">
        <v>38</v>
      </c>
      <c r="E56">
        <v>0</v>
      </c>
      <c r="F56">
        <v>0.326488899998366</v>
      </c>
      <c r="G56" t="s">
        <v>33</v>
      </c>
      <c r="H56">
        <v>0</v>
      </c>
      <c r="I56">
        <v>54</v>
      </c>
      <c r="J56">
        <v>0</v>
      </c>
      <c r="K56">
        <v>54</v>
      </c>
      <c r="L56">
        <v>0</v>
      </c>
      <c r="M56">
        <v>80.8902449000161</v>
      </c>
      <c r="O56">
        <v>80.873828099924097</v>
      </c>
      <c r="P56">
        <v>80.8902449000161</v>
      </c>
      <c r="Q56">
        <v>81.873576699988902</v>
      </c>
      <c r="R56">
        <v>81.890125499921794</v>
      </c>
      <c r="S56">
        <v>82.207023499999195</v>
      </c>
      <c r="T56" t="s">
        <v>38</v>
      </c>
      <c r="U56">
        <v>0</v>
      </c>
      <c r="V56">
        <v>0.326488899998366</v>
      </c>
      <c r="W56" t="s">
        <v>33</v>
      </c>
      <c r="X56">
        <v>0</v>
      </c>
      <c r="Y56">
        <v>659478</v>
      </c>
      <c r="Z56">
        <v>1</v>
      </c>
      <c r="AA56" t="s">
        <v>34</v>
      </c>
      <c r="AB56" t="s">
        <v>35</v>
      </c>
      <c r="AD56" t="s">
        <v>36</v>
      </c>
      <c r="AE56">
        <v>59.921323317268097</v>
      </c>
      <c r="AF56" t="s">
        <v>37</v>
      </c>
    </row>
    <row r="57" spans="1:32" x14ac:dyDescent="0.3">
      <c r="A57">
        <v>55</v>
      </c>
      <c r="B57">
        <v>0</v>
      </c>
      <c r="C57">
        <v>55</v>
      </c>
      <c r="D57" t="s">
        <v>32</v>
      </c>
      <c r="E57">
        <v>1</v>
      </c>
      <c r="F57">
        <v>0.13001859991345499</v>
      </c>
      <c r="G57" t="s">
        <v>33</v>
      </c>
      <c r="H57">
        <v>0</v>
      </c>
      <c r="I57">
        <v>55</v>
      </c>
      <c r="J57">
        <v>0</v>
      </c>
      <c r="K57">
        <v>55</v>
      </c>
      <c r="L57">
        <v>0</v>
      </c>
      <c r="M57">
        <v>82.223194899968803</v>
      </c>
      <c r="O57">
        <v>82.207583199953604</v>
      </c>
      <c r="P57">
        <v>82.223194899968803</v>
      </c>
      <c r="Q57">
        <v>83.206637399969594</v>
      </c>
      <c r="R57">
        <v>83.223357899929397</v>
      </c>
      <c r="S57">
        <v>83.340521899983202</v>
      </c>
      <c r="T57" t="s">
        <v>32</v>
      </c>
      <c r="U57">
        <v>1</v>
      </c>
      <c r="V57">
        <v>0.13001859991345499</v>
      </c>
      <c r="W57" t="s">
        <v>33</v>
      </c>
      <c r="X57">
        <v>0</v>
      </c>
      <c r="Y57">
        <v>659478</v>
      </c>
      <c r="Z57">
        <v>1</v>
      </c>
      <c r="AA57" t="s">
        <v>34</v>
      </c>
      <c r="AB57" t="s">
        <v>35</v>
      </c>
      <c r="AD57" t="s">
        <v>36</v>
      </c>
      <c r="AE57">
        <v>59.921323317268097</v>
      </c>
      <c r="AF57" t="s">
        <v>37</v>
      </c>
    </row>
    <row r="58" spans="1:32" x14ac:dyDescent="0.3">
      <c r="A58">
        <v>56</v>
      </c>
      <c r="B58">
        <v>0</v>
      </c>
      <c r="C58">
        <v>56</v>
      </c>
      <c r="D58" t="s">
        <v>38</v>
      </c>
      <c r="E58">
        <v>0</v>
      </c>
      <c r="F58">
        <v>5.0407900009304202E-2</v>
      </c>
      <c r="G58" t="s">
        <v>33</v>
      </c>
      <c r="H58">
        <v>0</v>
      </c>
      <c r="I58">
        <v>56</v>
      </c>
      <c r="J58">
        <v>0</v>
      </c>
      <c r="K58">
        <v>56</v>
      </c>
      <c r="L58">
        <v>0</v>
      </c>
      <c r="M58">
        <v>83.356655200012</v>
      </c>
      <c r="O58">
        <v>83.340781399980102</v>
      </c>
      <c r="P58">
        <v>83.356655200012</v>
      </c>
      <c r="Q58">
        <v>84.339898600010201</v>
      </c>
      <c r="R58">
        <v>84.356346199987399</v>
      </c>
      <c r="S58">
        <v>84.406761399935903</v>
      </c>
      <c r="T58" t="s">
        <v>38</v>
      </c>
      <c r="U58">
        <v>0</v>
      </c>
      <c r="V58">
        <v>5.0407900009304202E-2</v>
      </c>
      <c r="W58" t="s">
        <v>33</v>
      </c>
      <c r="X58">
        <v>0</v>
      </c>
      <c r="Y58">
        <v>659478</v>
      </c>
      <c r="Z58">
        <v>1</v>
      </c>
      <c r="AA58" t="s">
        <v>34</v>
      </c>
      <c r="AB58" t="s">
        <v>35</v>
      </c>
      <c r="AD58" t="s">
        <v>36</v>
      </c>
      <c r="AE58">
        <v>59.921323317268097</v>
      </c>
      <c r="AF58" t="s">
        <v>37</v>
      </c>
    </row>
    <row r="59" spans="1:32" x14ac:dyDescent="0.3">
      <c r="A59">
        <v>57</v>
      </c>
      <c r="B59">
        <v>0</v>
      </c>
      <c r="C59">
        <v>57</v>
      </c>
      <c r="D59" t="s">
        <v>38</v>
      </c>
      <c r="E59">
        <v>0</v>
      </c>
      <c r="F59">
        <v>0.554318499984219</v>
      </c>
      <c r="G59" t="s">
        <v>33</v>
      </c>
      <c r="H59">
        <v>0</v>
      </c>
      <c r="I59">
        <v>57</v>
      </c>
      <c r="J59">
        <v>0</v>
      </c>
      <c r="K59">
        <v>57</v>
      </c>
      <c r="L59">
        <v>0</v>
      </c>
      <c r="M59">
        <v>84.423126999987204</v>
      </c>
      <c r="O59">
        <v>84.407019999925893</v>
      </c>
      <c r="P59">
        <v>84.423126999987204</v>
      </c>
      <c r="Q59">
        <v>85.406354099977705</v>
      </c>
      <c r="R59">
        <v>85.423187799984504</v>
      </c>
      <c r="S59">
        <v>85.973625199985605</v>
      </c>
      <c r="T59" t="s">
        <v>38</v>
      </c>
      <c r="U59">
        <v>0</v>
      </c>
      <c r="V59">
        <v>0.554318499984219</v>
      </c>
      <c r="W59" t="s">
        <v>33</v>
      </c>
      <c r="X59">
        <v>0</v>
      </c>
      <c r="Y59">
        <v>659478</v>
      </c>
      <c r="Z59">
        <v>1</v>
      </c>
      <c r="AA59" t="s">
        <v>34</v>
      </c>
      <c r="AB59" t="s">
        <v>35</v>
      </c>
      <c r="AD59" t="s">
        <v>36</v>
      </c>
      <c r="AE59">
        <v>59.921323317268097</v>
      </c>
      <c r="AF59" t="s">
        <v>37</v>
      </c>
    </row>
    <row r="60" spans="1:32" x14ac:dyDescent="0.3">
      <c r="A60">
        <v>58</v>
      </c>
      <c r="B60">
        <v>0</v>
      </c>
      <c r="C60">
        <v>58</v>
      </c>
      <c r="D60" t="s">
        <v>32</v>
      </c>
      <c r="E60">
        <v>0</v>
      </c>
      <c r="F60">
        <v>0.27007760002743397</v>
      </c>
      <c r="G60" t="s">
        <v>33</v>
      </c>
      <c r="H60">
        <v>1</v>
      </c>
      <c r="I60">
        <v>58</v>
      </c>
      <c r="J60">
        <v>0</v>
      </c>
      <c r="K60">
        <v>58</v>
      </c>
      <c r="L60">
        <v>0</v>
      </c>
      <c r="M60">
        <v>85.989828999969106</v>
      </c>
      <c r="O60">
        <v>85.974008899996903</v>
      </c>
      <c r="P60">
        <v>85.989828999969106</v>
      </c>
      <c r="Q60">
        <v>86.973442699993001</v>
      </c>
      <c r="R60">
        <v>86.990375799941802</v>
      </c>
      <c r="S60">
        <v>87.257063900004098</v>
      </c>
      <c r="T60" t="s">
        <v>32</v>
      </c>
      <c r="U60">
        <v>0</v>
      </c>
      <c r="V60">
        <v>0.27007760002743397</v>
      </c>
      <c r="W60" t="s">
        <v>33</v>
      </c>
      <c r="X60">
        <v>1</v>
      </c>
      <c r="Y60">
        <v>659478</v>
      </c>
      <c r="Z60">
        <v>1</v>
      </c>
      <c r="AA60" t="s">
        <v>34</v>
      </c>
      <c r="AB60" t="s">
        <v>35</v>
      </c>
      <c r="AD60" t="s">
        <v>36</v>
      </c>
      <c r="AE60">
        <v>59.921323317268097</v>
      </c>
      <c r="AF60" t="s">
        <v>37</v>
      </c>
    </row>
    <row r="61" spans="1:32" x14ac:dyDescent="0.3">
      <c r="A61">
        <v>59</v>
      </c>
      <c r="B61">
        <v>0</v>
      </c>
      <c r="C61">
        <v>59</v>
      </c>
      <c r="D61" t="s">
        <v>32</v>
      </c>
      <c r="E61">
        <v>0</v>
      </c>
      <c r="F61">
        <v>0.57816589996218604</v>
      </c>
      <c r="G61" t="s">
        <v>33</v>
      </c>
      <c r="H61">
        <v>-5</v>
      </c>
      <c r="I61">
        <v>59</v>
      </c>
      <c r="J61">
        <v>0</v>
      </c>
      <c r="K61">
        <v>59</v>
      </c>
      <c r="L61">
        <v>0</v>
      </c>
      <c r="M61">
        <v>87.2729956000112</v>
      </c>
      <c r="O61">
        <v>87.257520999992195</v>
      </c>
      <c r="P61">
        <v>87.2729956000112</v>
      </c>
      <c r="Q61">
        <v>88.256428299937397</v>
      </c>
      <c r="R61">
        <v>88.273081499966693</v>
      </c>
      <c r="S61">
        <v>88.840556700015398</v>
      </c>
      <c r="T61" t="s">
        <v>32</v>
      </c>
      <c r="U61">
        <v>0</v>
      </c>
      <c r="V61">
        <v>0.57816589996218604</v>
      </c>
      <c r="W61" t="s">
        <v>33</v>
      </c>
      <c r="X61">
        <v>-5</v>
      </c>
      <c r="Y61">
        <v>659478</v>
      </c>
      <c r="Z61">
        <v>1</v>
      </c>
      <c r="AA61" t="s">
        <v>34</v>
      </c>
      <c r="AB61" t="s">
        <v>35</v>
      </c>
      <c r="AD61" t="s">
        <v>36</v>
      </c>
      <c r="AE61">
        <v>59.921323317268097</v>
      </c>
      <c r="AF61" t="s">
        <v>37</v>
      </c>
    </row>
    <row r="62" spans="1:32" x14ac:dyDescent="0.3">
      <c r="A62">
        <v>60</v>
      </c>
      <c r="B62">
        <v>0</v>
      </c>
      <c r="C62">
        <v>60</v>
      </c>
      <c r="D62" t="s">
        <v>32</v>
      </c>
      <c r="E62">
        <v>0</v>
      </c>
      <c r="F62">
        <v>0.690593400038778</v>
      </c>
      <c r="G62" t="s">
        <v>33</v>
      </c>
      <c r="H62">
        <v>3</v>
      </c>
      <c r="I62">
        <v>60</v>
      </c>
      <c r="J62">
        <v>0</v>
      </c>
      <c r="K62">
        <v>60</v>
      </c>
      <c r="L62">
        <v>0</v>
      </c>
      <c r="M62">
        <v>88.856484499992803</v>
      </c>
      <c r="O62">
        <v>88.840841999975893</v>
      </c>
      <c r="P62">
        <v>88.856484499992803</v>
      </c>
      <c r="Q62">
        <v>89.839797099935794</v>
      </c>
      <c r="R62">
        <v>89.856486100004901</v>
      </c>
      <c r="S62">
        <v>90.540198299917293</v>
      </c>
      <c r="T62" t="s">
        <v>32</v>
      </c>
      <c r="U62">
        <v>0</v>
      </c>
      <c r="V62">
        <v>0.690593400038778</v>
      </c>
      <c r="W62" t="s">
        <v>33</v>
      </c>
      <c r="X62">
        <v>3</v>
      </c>
      <c r="Y62">
        <v>659478</v>
      </c>
      <c r="Z62">
        <v>1</v>
      </c>
      <c r="AA62" t="s">
        <v>34</v>
      </c>
      <c r="AB62" t="s">
        <v>35</v>
      </c>
      <c r="AD62" t="s">
        <v>36</v>
      </c>
      <c r="AE62">
        <v>59.921323317268097</v>
      </c>
      <c r="AF62" t="s">
        <v>37</v>
      </c>
    </row>
    <row r="63" spans="1:32" x14ac:dyDescent="0.3">
      <c r="A63">
        <v>61</v>
      </c>
      <c r="B63">
        <v>0</v>
      </c>
      <c r="C63">
        <v>61</v>
      </c>
      <c r="D63" t="s">
        <v>32</v>
      </c>
      <c r="E63">
        <v>1</v>
      </c>
      <c r="F63">
        <v>0.82707930007018104</v>
      </c>
      <c r="G63" t="s">
        <v>33</v>
      </c>
      <c r="H63">
        <v>0</v>
      </c>
      <c r="I63">
        <v>61</v>
      </c>
      <c r="J63">
        <v>0</v>
      </c>
      <c r="K63">
        <v>61</v>
      </c>
      <c r="L63">
        <v>0</v>
      </c>
      <c r="M63">
        <v>90.556379699963102</v>
      </c>
      <c r="O63">
        <v>90.540455999900502</v>
      </c>
      <c r="P63">
        <v>90.556379699963102</v>
      </c>
      <c r="Q63">
        <v>91.5398299999069</v>
      </c>
      <c r="R63">
        <v>91.556538600008906</v>
      </c>
      <c r="S63">
        <v>92.373692799941594</v>
      </c>
      <c r="T63" t="s">
        <v>32</v>
      </c>
      <c r="U63">
        <v>1</v>
      </c>
      <c r="V63">
        <v>0.82707930007018104</v>
      </c>
      <c r="W63" t="s">
        <v>33</v>
      </c>
      <c r="X63">
        <v>0</v>
      </c>
      <c r="Y63">
        <v>659478</v>
      </c>
      <c r="Z63">
        <v>1</v>
      </c>
      <c r="AA63" t="s">
        <v>34</v>
      </c>
      <c r="AB63" t="s">
        <v>35</v>
      </c>
      <c r="AD63" t="s">
        <v>36</v>
      </c>
      <c r="AE63">
        <v>59.921323317268097</v>
      </c>
      <c r="AF63" t="s">
        <v>37</v>
      </c>
    </row>
    <row r="64" spans="1:32" x14ac:dyDescent="0.3">
      <c r="A64">
        <v>62</v>
      </c>
      <c r="B64">
        <v>0</v>
      </c>
      <c r="C64">
        <v>62</v>
      </c>
      <c r="D64" t="s">
        <v>32</v>
      </c>
      <c r="E64">
        <v>1</v>
      </c>
      <c r="F64">
        <v>0.81009719998109997</v>
      </c>
      <c r="G64" t="s">
        <v>33</v>
      </c>
      <c r="H64">
        <v>0</v>
      </c>
      <c r="I64">
        <v>62</v>
      </c>
      <c r="J64">
        <v>0</v>
      </c>
      <c r="K64">
        <v>62</v>
      </c>
      <c r="L64">
        <v>0</v>
      </c>
      <c r="M64">
        <v>92.390028699999604</v>
      </c>
      <c r="O64">
        <v>92.373935799929299</v>
      </c>
      <c r="P64">
        <v>92.390028699999604</v>
      </c>
      <c r="Q64">
        <v>93.373202299932004</v>
      </c>
      <c r="R64">
        <v>93.389921399997505</v>
      </c>
      <c r="S64">
        <v>94.190095399971995</v>
      </c>
      <c r="T64" t="s">
        <v>32</v>
      </c>
      <c r="U64">
        <v>1</v>
      </c>
      <c r="V64">
        <v>0.81009719998109997</v>
      </c>
      <c r="W64" t="s">
        <v>33</v>
      </c>
      <c r="X64">
        <v>0</v>
      </c>
      <c r="Y64">
        <v>659478</v>
      </c>
      <c r="Z64">
        <v>1</v>
      </c>
      <c r="AA64" t="s">
        <v>34</v>
      </c>
      <c r="AB64" t="s">
        <v>35</v>
      </c>
      <c r="AD64" t="s">
        <v>36</v>
      </c>
      <c r="AE64">
        <v>59.921323317268097</v>
      </c>
      <c r="AF64" t="s">
        <v>37</v>
      </c>
    </row>
    <row r="65" spans="1:32" x14ac:dyDescent="0.3">
      <c r="A65">
        <v>63</v>
      </c>
      <c r="B65">
        <v>0</v>
      </c>
      <c r="C65">
        <v>63</v>
      </c>
      <c r="D65" t="s">
        <v>32</v>
      </c>
      <c r="E65">
        <v>0</v>
      </c>
      <c r="F65">
        <v>0.31513759994413698</v>
      </c>
      <c r="G65" t="s">
        <v>33</v>
      </c>
      <c r="H65">
        <v>2</v>
      </c>
      <c r="I65">
        <v>63</v>
      </c>
      <c r="J65">
        <v>0</v>
      </c>
      <c r="K65">
        <v>63</v>
      </c>
      <c r="L65">
        <v>0</v>
      </c>
      <c r="M65">
        <v>94.206522899912599</v>
      </c>
      <c r="O65">
        <v>94.190684999921302</v>
      </c>
      <c r="P65">
        <v>94.206522899912599</v>
      </c>
      <c r="Q65">
        <v>95.189726599957794</v>
      </c>
      <c r="R65">
        <v>95.206383400014602</v>
      </c>
      <c r="S65">
        <v>95.506994899944402</v>
      </c>
      <c r="T65" t="s">
        <v>32</v>
      </c>
      <c r="U65">
        <v>0</v>
      </c>
      <c r="V65">
        <v>0.31513759994413698</v>
      </c>
      <c r="W65" t="s">
        <v>33</v>
      </c>
      <c r="X65">
        <v>2</v>
      </c>
      <c r="Y65">
        <v>659478</v>
      </c>
      <c r="Z65">
        <v>1</v>
      </c>
      <c r="AA65" t="s">
        <v>34</v>
      </c>
      <c r="AB65" t="s">
        <v>35</v>
      </c>
      <c r="AD65" t="s">
        <v>36</v>
      </c>
      <c r="AE65">
        <v>59.921323317268097</v>
      </c>
      <c r="AF65" t="s">
        <v>37</v>
      </c>
    </row>
    <row r="66" spans="1:32" x14ac:dyDescent="0.3">
      <c r="A66">
        <v>64</v>
      </c>
      <c r="B66">
        <v>0</v>
      </c>
      <c r="C66">
        <v>64</v>
      </c>
      <c r="D66" t="s">
        <v>32</v>
      </c>
      <c r="E66">
        <v>1</v>
      </c>
      <c r="F66">
        <v>0.679090399993583</v>
      </c>
      <c r="G66" t="s">
        <v>33</v>
      </c>
      <c r="H66">
        <v>0</v>
      </c>
      <c r="I66">
        <v>64</v>
      </c>
      <c r="J66">
        <v>0</v>
      </c>
      <c r="K66">
        <v>64</v>
      </c>
      <c r="L66">
        <v>0</v>
      </c>
      <c r="M66">
        <v>95.523160999989997</v>
      </c>
      <c r="O66">
        <v>95.507483299938002</v>
      </c>
      <c r="P66">
        <v>95.523160999989997</v>
      </c>
      <c r="Q66">
        <v>96.506307599949594</v>
      </c>
      <c r="R66">
        <v>96.523485599900596</v>
      </c>
      <c r="S66">
        <v>97.190323299961094</v>
      </c>
      <c r="T66" t="s">
        <v>32</v>
      </c>
      <c r="U66">
        <v>1</v>
      </c>
      <c r="V66">
        <v>0.679090399993583</v>
      </c>
      <c r="W66" t="s">
        <v>33</v>
      </c>
      <c r="X66">
        <v>0</v>
      </c>
      <c r="Y66">
        <v>659478</v>
      </c>
      <c r="Z66">
        <v>1</v>
      </c>
      <c r="AA66" t="s">
        <v>34</v>
      </c>
      <c r="AB66" t="s">
        <v>35</v>
      </c>
      <c r="AD66" t="s">
        <v>36</v>
      </c>
      <c r="AE66">
        <v>59.921323317268097</v>
      </c>
      <c r="AF66" t="s">
        <v>37</v>
      </c>
    </row>
    <row r="67" spans="1:32" x14ac:dyDescent="0.3">
      <c r="A67">
        <v>65</v>
      </c>
      <c r="B67">
        <v>0</v>
      </c>
      <c r="C67">
        <v>65</v>
      </c>
      <c r="D67" t="s">
        <v>32</v>
      </c>
      <c r="E67">
        <v>1</v>
      </c>
      <c r="F67">
        <v>8.1990899983793497E-2</v>
      </c>
      <c r="G67" t="s">
        <v>33</v>
      </c>
      <c r="H67">
        <v>0</v>
      </c>
      <c r="I67">
        <v>65</v>
      </c>
      <c r="J67">
        <v>0</v>
      </c>
      <c r="K67">
        <v>65</v>
      </c>
      <c r="L67">
        <v>0</v>
      </c>
      <c r="M67">
        <v>97.206574599957094</v>
      </c>
      <c r="O67">
        <v>97.190697599900801</v>
      </c>
      <c r="P67">
        <v>97.206574599957094</v>
      </c>
      <c r="Q67">
        <v>98.189744599978397</v>
      </c>
      <c r="R67">
        <v>98.206320299999703</v>
      </c>
      <c r="S67">
        <v>98.273596699931602</v>
      </c>
      <c r="T67" t="s">
        <v>32</v>
      </c>
      <c r="U67">
        <v>1</v>
      </c>
      <c r="V67">
        <v>8.1990899983793497E-2</v>
      </c>
      <c r="W67" t="s">
        <v>33</v>
      </c>
      <c r="X67">
        <v>0</v>
      </c>
      <c r="Y67">
        <v>659478</v>
      </c>
      <c r="Z67">
        <v>1</v>
      </c>
      <c r="AA67" t="s">
        <v>34</v>
      </c>
      <c r="AB67" t="s">
        <v>35</v>
      </c>
      <c r="AD67" t="s">
        <v>36</v>
      </c>
      <c r="AE67">
        <v>59.921323317268097</v>
      </c>
      <c r="AF67" t="s">
        <v>37</v>
      </c>
    </row>
    <row r="68" spans="1:32" x14ac:dyDescent="0.3">
      <c r="A68">
        <v>66</v>
      </c>
      <c r="B68">
        <v>0</v>
      </c>
      <c r="C68">
        <v>66</v>
      </c>
      <c r="D68" t="s">
        <v>38</v>
      </c>
      <c r="E68">
        <v>0</v>
      </c>
      <c r="F68">
        <v>0.77822400000877601</v>
      </c>
      <c r="G68" t="s">
        <v>33</v>
      </c>
      <c r="H68">
        <v>0</v>
      </c>
      <c r="I68">
        <v>66</v>
      </c>
      <c r="J68">
        <v>0</v>
      </c>
      <c r="K68">
        <v>66</v>
      </c>
      <c r="L68">
        <v>0</v>
      </c>
      <c r="M68">
        <v>98.290498299989807</v>
      </c>
      <c r="O68">
        <v>98.273848099983297</v>
      </c>
      <c r="P68">
        <v>98.290498299989807</v>
      </c>
      <c r="Q68">
        <v>99.273238199995802</v>
      </c>
      <c r="R68">
        <v>99.289801899925806</v>
      </c>
      <c r="S68">
        <v>100.05685319995899</v>
      </c>
      <c r="T68" t="s">
        <v>38</v>
      </c>
      <c r="U68">
        <v>0</v>
      </c>
      <c r="V68">
        <v>0.77822400000877601</v>
      </c>
      <c r="W68" t="s">
        <v>33</v>
      </c>
      <c r="X68">
        <v>0</v>
      </c>
      <c r="Y68">
        <v>659478</v>
      </c>
      <c r="Z68">
        <v>1</v>
      </c>
      <c r="AA68" t="s">
        <v>34</v>
      </c>
      <c r="AB68" t="s">
        <v>35</v>
      </c>
      <c r="AD68" t="s">
        <v>36</v>
      </c>
      <c r="AE68">
        <v>59.921323317268097</v>
      </c>
      <c r="AF68" t="s">
        <v>37</v>
      </c>
    </row>
    <row r="69" spans="1:32" x14ac:dyDescent="0.3">
      <c r="A69">
        <v>67</v>
      </c>
      <c r="B69">
        <v>0</v>
      </c>
      <c r="C69">
        <v>67</v>
      </c>
      <c r="D69" t="s">
        <v>38</v>
      </c>
      <c r="E69">
        <v>1</v>
      </c>
      <c r="F69">
        <v>0.111690899939276</v>
      </c>
      <c r="G69" t="s">
        <v>33</v>
      </c>
      <c r="H69">
        <v>-5</v>
      </c>
      <c r="I69">
        <v>67</v>
      </c>
      <c r="J69">
        <v>0</v>
      </c>
      <c r="K69">
        <v>67</v>
      </c>
      <c r="L69">
        <v>0</v>
      </c>
      <c r="M69">
        <v>100.073022299911</v>
      </c>
      <c r="O69">
        <v>100.057152199908</v>
      </c>
      <c r="P69">
        <v>100.073022299911</v>
      </c>
      <c r="Q69">
        <v>101.056394999963</v>
      </c>
      <c r="R69">
        <v>101.073144199908</v>
      </c>
      <c r="S69">
        <v>101.173556699999</v>
      </c>
      <c r="T69" t="s">
        <v>38</v>
      </c>
      <c r="U69">
        <v>1</v>
      </c>
      <c r="V69">
        <v>0.111690899939276</v>
      </c>
      <c r="W69" t="s">
        <v>33</v>
      </c>
      <c r="X69">
        <v>-5</v>
      </c>
      <c r="Y69">
        <v>659478</v>
      </c>
      <c r="Z69">
        <v>1</v>
      </c>
      <c r="AA69" t="s">
        <v>34</v>
      </c>
      <c r="AB69" t="s">
        <v>35</v>
      </c>
      <c r="AD69" t="s">
        <v>36</v>
      </c>
      <c r="AE69">
        <v>59.921323317268097</v>
      </c>
      <c r="AF69" t="s">
        <v>37</v>
      </c>
    </row>
    <row r="70" spans="1:32" x14ac:dyDescent="0.3">
      <c r="A70">
        <v>68</v>
      </c>
      <c r="B70">
        <v>0</v>
      </c>
      <c r="C70">
        <v>68</v>
      </c>
      <c r="D70" t="s">
        <v>38</v>
      </c>
      <c r="E70">
        <v>0</v>
      </c>
      <c r="F70">
        <v>0.111394400009885</v>
      </c>
      <c r="G70" t="s">
        <v>33</v>
      </c>
      <c r="H70">
        <v>0</v>
      </c>
      <c r="I70">
        <v>68</v>
      </c>
      <c r="J70">
        <v>0</v>
      </c>
      <c r="K70">
        <v>68</v>
      </c>
      <c r="L70">
        <v>0</v>
      </c>
      <c r="M70">
        <v>101.189854900003</v>
      </c>
      <c r="O70">
        <v>101.17383969994199</v>
      </c>
      <c r="P70">
        <v>101.189854900003</v>
      </c>
      <c r="Q70">
        <v>102.17328019998899</v>
      </c>
      <c r="R70">
        <v>102.190061499946</v>
      </c>
      <c r="S70">
        <v>102.29112949990601</v>
      </c>
      <c r="T70" t="s">
        <v>38</v>
      </c>
      <c r="U70">
        <v>0</v>
      </c>
      <c r="V70">
        <v>0.111394400009885</v>
      </c>
      <c r="W70" t="s">
        <v>33</v>
      </c>
      <c r="X70">
        <v>0</v>
      </c>
      <c r="Y70">
        <v>659478</v>
      </c>
      <c r="Z70">
        <v>1</v>
      </c>
      <c r="AA70" t="s">
        <v>34</v>
      </c>
      <c r="AB70" t="s">
        <v>35</v>
      </c>
      <c r="AD70" t="s">
        <v>36</v>
      </c>
      <c r="AE70">
        <v>59.921323317268097</v>
      </c>
      <c r="AF70" t="s">
        <v>37</v>
      </c>
    </row>
    <row r="71" spans="1:32" x14ac:dyDescent="0.3">
      <c r="A71">
        <v>69</v>
      </c>
      <c r="B71">
        <v>0</v>
      </c>
      <c r="C71">
        <v>69</v>
      </c>
      <c r="D71" t="s">
        <v>38</v>
      </c>
      <c r="E71">
        <v>0</v>
      </c>
      <c r="F71">
        <v>4.7266699955798602E-2</v>
      </c>
      <c r="G71" t="s">
        <v>33</v>
      </c>
      <c r="H71">
        <v>0</v>
      </c>
      <c r="I71">
        <v>69</v>
      </c>
      <c r="J71">
        <v>0</v>
      </c>
      <c r="K71">
        <v>69</v>
      </c>
      <c r="L71">
        <v>0</v>
      </c>
      <c r="M71">
        <v>102.306649799924</v>
      </c>
      <c r="O71">
        <v>102.291540100006</v>
      </c>
      <c r="P71">
        <v>102.306649799924</v>
      </c>
      <c r="Q71">
        <v>103.306727499933</v>
      </c>
      <c r="R71">
        <v>103.306727499933</v>
      </c>
      <c r="S71">
        <v>103.357666399911</v>
      </c>
      <c r="T71" t="s">
        <v>38</v>
      </c>
      <c r="U71">
        <v>0</v>
      </c>
      <c r="V71">
        <v>4.7266699955798602E-2</v>
      </c>
      <c r="W71" t="s">
        <v>33</v>
      </c>
      <c r="X71">
        <v>0</v>
      </c>
      <c r="Y71">
        <v>659478</v>
      </c>
      <c r="Z71">
        <v>1</v>
      </c>
      <c r="AA71" t="s">
        <v>34</v>
      </c>
      <c r="AB71" t="s">
        <v>35</v>
      </c>
      <c r="AD71" t="s">
        <v>36</v>
      </c>
      <c r="AE71">
        <v>59.921323317268097</v>
      </c>
      <c r="AF71" t="s">
        <v>37</v>
      </c>
    </row>
    <row r="72" spans="1:32" x14ac:dyDescent="0.3">
      <c r="A72">
        <v>70</v>
      </c>
      <c r="B72">
        <v>0</v>
      </c>
      <c r="C72">
        <v>70</v>
      </c>
      <c r="D72" t="s">
        <v>38</v>
      </c>
      <c r="E72">
        <v>0</v>
      </c>
      <c r="F72">
        <v>0.20841590000782101</v>
      </c>
      <c r="G72" t="s">
        <v>33</v>
      </c>
      <c r="H72">
        <v>0</v>
      </c>
      <c r="I72">
        <v>70</v>
      </c>
      <c r="J72">
        <v>0</v>
      </c>
      <c r="K72">
        <v>70</v>
      </c>
      <c r="L72">
        <v>0</v>
      </c>
      <c r="M72">
        <v>103.373206799966</v>
      </c>
      <c r="O72">
        <v>103.357869799947</v>
      </c>
      <c r="P72">
        <v>103.373206799966</v>
      </c>
      <c r="Q72">
        <v>104.356636799988</v>
      </c>
      <c r="R72">
        <v>104.373319800011</v>
      </c>
      <c r="S72">
        <v>104.574016799917</v>
      </c>
      <c r="T72" t="s">
        <v>38</v>
      </c>
      <c r="U72">
        <v>0</v>
      </c>
      <c r="V72">
        <v>0.20841590000782101</v>
      </c>
      <c r="W72" t="s">
        <v>33</v>
      </c>
      <c r="X72">
        <v>0</v>
      </c>
      <c r="Y72">
        <v>659478</v>
      </c>
      <c r="Z72">
        <v>1</v>
      </c>
      <c r="AA72" t="s">
        <v>34</v>
      </c>
      <c r="AB72" t="s">
        <v>35</v>
      </c>
      <c r="AD72" t="s">
        <v>36</v>
      </c>
      <c r="AE72">
        <v>59.921323317268097</v>
      </c>
      <c r="AF72" t="s">
        <v>37</v>
      </c>
    </row>
    <row r="73" spans="1:32" x14ac:dyDescent="0.3">
      <c r="A73">
        <v>71</v>
      </c>
      <c r="B73">
        <v>0</v>
      </c>
      <c r="C73">
        <v>71</v>
      </c>
      <c r="D73" t="s">
        <v>38</v>
      </c>
      <c r="E73">
        <v>1</v>
      </c>
      <c r="F73">
        <v>0.18549159995745801</v>
      </c>
      <c r="G73" t="s">
        <v>33</v>
      </c>
      <c r="H73">
        <v>2</v>
      </c>
      <c r="I73">
        <v>71</v>
      </c>
      <c r="J73">
        <v>0</v>
      </c>
      <c r="K73">
        <v>71</v>
      </c>
      <c r="L73">
        <v>0</v>
      </c>
      <c r="M73">
        <v>104.589763799915</v>
      </c>
      <c r="O73">
        <v>104.574309299932</v>
      </c>
      <c r="P73">
        <v>104.589763799915</v>
      </c>
      <c r="Q73">
        <v>105.589859599946</v>
      </c>
      <c r="R73">
        <v>105.589859599946</v>
      </c>
      <c r="S73">
        <v>105.790422299993</v>
      </c>
      <c r="T73" t="s">
        <v>38</v>
      </c>
      <c r="U73">
        <v>1</v>
      </c>
      <c r="V73">
        <v>0.18549159995745801</v>
      </c>
      <c r="W73" t="s">
        <v>33</v>
      </c>
      <c r="X73">
        <v>2</v>
      </c>
      <c r="Y73">
        <v>659478</v>
      </c>
      <c r="Z73">
        <v>1</v>
      </c>
      <c r="AA73" t="s">
        <v>34</v>
      </c>
      <c r="AB73" t="s">
        <v>35</v>
      </c>
      <c r="AD73" t="s">
        <v>36</v>
      </c>
      <c r="AE73">
        <v>59.921323317268097</v>
      </c>
      <c r="AF73" t="s">
        <v>37</v>
      </c>
    </row>
    <row r="74" spans="1:32" x14ac:dyDescent="0.3">
      <c r="A74">
        <v>72</v>
      </c>
      <c r="B74">
        <v>0</v>
      </c>
      <c r="C74">
        <v>72</v>
      </c>
      <c r="D74" t="s">
        <v>38</v>
      </c>
      <c r="E74">
        <v>0</v>
      </c>
      <c r="F74">
        <v>2.9342300025746199E-2</v>
      </c>
      <c r="G74" t="s">
        <v>33</v>
      </c>
      <c r="H74">
        <v>0</v>
      </c>
      <c r="I74">
        <v>72</v>
      </c>
      <c r="J74">
        <v>0</v>
      </c>
      <c r="K74">
        <v>72</v>
      </c>
      <c r="L74">
        <v>0</v>
      </c>
      <c r="M74">
        <v>105.806230499991</v>
      </c>
      <c r="O74">
        <v>105.790700400015</v>
      </c>
      <c r="P74">
        <v>105.806230499991</v>
      </c>
      <c r="Q74">
        <v>106.789783100015</v>
      </c>
      <c r="R74">
        <v>106.806245599989</v>
      </c>
      <c r="S74">
        <v>106.82345759996601</v>
      </c>
      <c r="T74" t="s">
        <v>38</v>
      </c>
      <c r="U74">
        <v>0</v>
      </c>
      <c r="V74">
        <v>2.9342300025746199E-2</v>
      </c>
      <c r="W74" t="s">
        <v>33</v>
      </c>
      <c r="X74">
        <v>0</v>
      </c>
      <c r="Y74">
        <v>659478</v>
      </c>
      <c r="Z74">
        <v>1</v>
      </c>
      <c r="AA74" t="s">
        <v>34</v>
      </c>
      <c r="AB74" t="s">
        <v>35</v>
      </c>
      <c r="AD74" t="s">
        <v>36</v>
      </c>
      <c r="AE74">
        <v>59.921323317268097</v>
      </c>
      <c r="AF74" t="s">
        <v>37</v>
      </c>
    </row>
    <row r="75" spans="1:32" x14ac:dyDescent="0.3">
      <c r="A75">
        <v>73</v>
      </c>
      <c r="B75">
        <v>0</v>
      </c>
      <c r="C75">
        <v>73</v>
      </c>
      <c r="D75" t="s">
        <v>38</v>
      </c>
      <c r="E75">
        <v>1</v>
      </c>
      <c r="F75">
        <v>0.679387800046242</v>
      </c>
      <c r="G75" t="s">
        <v>33</v>
      </c>
      <c r="H75">
        <v>-2</v>
      </c>
      <c r="I75">
        <v>73</v>
      </c>
      <c r="J75">
        <v>0</v>
      </c>
      <c r="K75">
        <v>73</v>
      </c>
      <c r="L75">
        <v>0</v>
      </c>
      <c r="M75">
        <v>106.83974919992001</v>
      </c>
      <c r="O75">
        <v>106.82376870000699</v>
      </c>
      <c r="P75">
        <v>106.83974919992001</v>
      </c>
      <c r="Q75">
        <v>107.82301349996099</v>
      </c>
      <c r="R75">
        <v>107.839685200015</v>
      </c>
      <c r="S75">
        <v>108.507031899993</v>
      </c>
      <c r="T75" t="s">
        <v>38</v>
      </c>
      <c r="U75">
        <v>1</v>
      </c>
      <c r="V75">
        <v>0.679387800046242</v>
      </c>
      <c r="W75" t="s">
        <v>33</v>
      </c>
      <c r="X75">
        <v>-2</v>
      </c>
      <c r="Y75">
        <v>659478</v>
      </c>
      <c r="Z75">
        <v>1</v>
      </c>
      <c r="AA75" t="s">
        <v>34</v>
      </c>
      <c r="AB75" t="s">
        <v>35</v>
      </c>
      <c r="AD75" t="s">
        <v>36</v>
      </c>
      <c r="AE75">
        <v>59.921323317268097</v>
      </c>
      <c r="AF75" t="s">
        <v>37</v>
      </c>
    </row>
    <row r="76" spans="1:32" x14ac:dyDescent="0.3">
      <c r="A76">
        <v>74</v>
      </c>
      <c r="B76">
        <v>0</v>
      </c>
      <c r="C76">
        <v>74</v>
      </c>
      <c r="D76" t="s">
        <v>38</v>
      </c>
      <c r="E76">
        <v>1</v>
      </c>
      <c r="F76">
        <v>0.41971069993451199</v>
      </c>
      <c r="G76" t="s">
        <v>33</v>
      </c>
      <c r="H76">
        <v>4</v>
      </c>
      <c r="I76">
        <v>74</v>
      </c>
      <c r="J76">
        <v>0</v>
      </c>
      <c r="K76">
        <v>74</v>
      </c>
      <c r="L76">
        <v>0</v>
      </c>
      <c r="M76">
        <v>108.523252999992</v>
      </c>
      <c r="O76">
        <v>108.50732589990299</v>
      </c>
      <c r="P76">
        <v>108.523252999992</v>
      </c>
      <c r="Q76">
        <v>109.50662489992099</v>
      </c>
      <c r="R76">
        <v>109.52326419996</v>
      </c>
      <c r="S76">
        <v>109.940322399954</v>
      </c>
      <c r="T76" t="s">
        <v>38</v>
      </c>
      <c r="U76">
        <v>1</v>
      </c>
      <c r="V76">
        <v>0.41971069993451199</v>
      </c>
      <c r="W76" t="s">
        <v>33</v>
      </c>
      <c r="X76">
        <v>4</v>
      </c>
      <c r="Y76">
        <v>659478</v>
      </c>
      <c r="Z76">
        <v>1</v>
      </c>
      <c r="AA76" t="s">
        <v>34</v>
      </c>
      <c r="AB76" t="s">
        <v>35</v>
      </c>
      <c r="AD76" t="s">
        <v>36</v>
      </c>
      <c r="AE76">
        <v>59.921323317268097</v>
      </c>
      <c r="AF76" t="s">
        <v>37</v>
      </c>
    </row>
    <row r="77" spans="1:32" x14ac:dyDescent="0.3">
      <c r="A77">
        <v>75</v>
      </c>
      <c r="B77">
        <v>0</v>
      </c>
      <c r="C77">
        <v>75</v>
      </c>
      <c r="D77" t="s">
        <v>32</v>
      </c>
      <c r="E77">
        <v>0</v>
      </c>
      <c r="F77">
        <v>2.6163819999201201</v>
      </c>
      <c r="G77" t="s">
        <v>33</v>
      </c>
      <c r="H77">
        <v>4</v>
      </c>
      <c r="I77">
        <v>75</v>
      </c>
      <c r="J77">
        <v>0</v>
      </c>
      <c r="K77">
        <v>75</v>
      </c>
      <c r="L77">
        <v>0</v>
      </c>
      <c r="M77">
        <v>109.956408299971</v>
      </c>
      <c r="O77">
        <v>109.94060159998401</v>
      </c>
      <c r="P77">
        <v>109.956408299971</v>
      </c>
      <c r="Q77">
        <v>110.939936399925</v>
      </c>
      <c r="R77">
        <v>110.95646389992901</v>
      </c>
      <c r="S77">
        <v>113.55695379991</v>
      </c>
      <c r="T77" t="s">
        <v>32</v>
      </c>
      <c r="U77">
        <v>0</v>
      </c>
      <c r="V77">
        <v>2.6163819999201201</v>
      </c>
      <c r="W77" t="s">
        <v>33</v>
      </c>
      <c r="X77">
        <v>4</v>
      </c>
      <c r="Y77">
        <v>659478</v>
      </c>
      <c r="Z77">
        <v>1</v>
      </c>
      <c r="AA77" t="s">
        <v>34</v>
      </c>
      <c r="AB77" t="s">
        <v>35</v>
      </c>
      <c r="AD77" t="s">
        <v>36</v>
      </c>
      <c r="AE77">
        <v>59.921323317268097</v>
      </c>
      <c r="AF77" t="s">
        <v>37</v>
      </c>
    </row>
    <row r="78" spans="1:32" x14ac:dyDescent="0.3">
      <c r="A78">
        <v>76</v>
      </c>
      <c r="B78">
        <v>0</v>
      </c>
      <c r="C78">
        <v>76</v>
      </c>
      <c r="D78" t="s">
        <v>32</v>
      </c>
      <c r="E78">
        <v>1</v>
      </c>
      <c r="F78">
        <v>3.7826262000016802</v>
      </c>
      <c r="G78" t="s">
        <v>33</v>
      </c>
      <c r="H78">
        <v>0</v>
      </c>
      <c r="I78">
        <v>76</v>
      </c>
      <c r="J78">
        <v>0</v>
      </c>
      <c r="K78">
        <v>76</v>
      </c>
      <c r="L78">
        <v>0</v>
      </c>
      <c r="M78">
        <v>113.57319689996</v>
      </c>
      <c r="O78">
        <v>113.557329299976</v>
      </c>
      <c r="P78">
        <v>113.57319689996</v>
      </c>
      <c r="Q78">
        <v>114.556320899981</v>
      </c>
      <c r="R78">
        <v>114.57319789996799</v>
      </c>
      <c r="S78">
        <v>118.34036419994599</v>
      </c>
      <c r="T78" t="s">
        <v>32</v>
      </c>
      <c r="U78">
        <v>1</v>
      </c>
      <c r="V78">
        <v>3.7826262000016802</v>
      </c>
      <c r="W78" t="s">
        <v>33</v>
      </c>
      <c r="X78">
        <v>0</v>
      </c>
      <c r="Y78">
        <v>659478</v>
      </c>
      <c r="Z78">
        <v>1</v>
      </c>
      <c r="AA78" t="s">
        <v>34</v>
      </c>
      <c r="AB78" t="s">
        <v>35</v>
      </c>
      <c r="AD78" t="s">
        <v>36</v>
      </c>
      <c r="AE78">
        <v>59.921323317268097</v>
      </c>
      <c r="AF78" t="s">
        <v>37</v>
      </c>
    </row>
    <row r="79" spans="1:32" x14ac:dyDescent="0.3">
      <c r="A79">
        <v>77</v>
      </c>
      <c r="B79">
        <v>0</v>
      </c>
      <c r="C79">
        <v>77</v>
      </c>
      <c r="D79" t="s">
        <v>32</v>
      </c>
      <c r="E79">
        <v>0</v>
      </c>
      <c r="F79">
        <v>0.892535099992528</v>
      </c>
      <c r="G79" t="s">
        <v>33</v>
      </c>
      <c r="H79">
        <v>-3</v>
      </c>
      <c r="I79">
        <v>77</v>
      </c>
      <c r="J79">
        <v>0</v>
      </c>
      <c r="K79">
        <v>77</v>
      </c>
      <c r="L79">
        <v>0</v>
      </c>
      <c r="M79">
        <v>118.35623139992801</v>
      </c>
      <c r="O79">
        <v>118.340575699927</v>
      </c>
      <c r="P79">
        <v>118.35623139992801</v>
      </c>
      <c r="Q79">
        <v>119.33987999998401</v>
      </c>
      <c r="R79">
        <v>119.35627320001301</v>
      </c>
      <c r="S79">
        <v>120.240202299901</v>
      </c>
      <c r="T79" t="s">
        <v>32</v>
      </c>
      <c r="U79">
        <v>0</v>
      </c>
      <c r="V79">
        <v>0.892535099992528</v>
      </c>
      <c r="W79" t="s">
        <v>33</v>
      </c>
      <c r="X79">
        <v>-3</v>
      </c>
      <c r="Y79">
        <v>659478</v>
      </c>
      <c r="Z79">
        <v>1</v>
      </c>
      <c r="AA79" t="s">
        <v>34</v>
      </c>
      <c r="AB79" t="s">
        <v>35</v>
      </c>
      <c r="AD79" t="s">
        <v>36</v>
      </c>
      <c r="AE79">
        <v>59.921323317268097</v>
      </c>
      <c r="AF79" t="s">
        <v>37</v>
      </c>
    </row>
    <row r="80" spans="1:32" x14ac:dyDescent="0.3">
      <c r="A80">
        <v>78</v>
      </c>
      <c r="B80">
        <v>0</v>
      </c>
      <c r="C80">
        <v>78</v>
      </c>
      <c r="D80" t="s">
        <v>38</v>
      </c>
      <c r="E80">
        <v>0</v>
      </c>
      <c r="F80">
        <v>0.65032649994827796</v>
      </c>
      <c r="G80" t="s">
        <v>33</v>
      </c>
      <c r="H80">
        <v>0</v>
      </c>
      <c r="I80">
        <v>78</v>
      </c>
      <c r="J80">
        <v>0</v>
      </c>
      <c r="K80">
        <v>78</v>
      </c>
      <c r="L80">
        <v>0</v>
      </c>
      <c r="M80">
        <v>120.25634709990101</v>
      </c>
      <c r="O80">
        <v>120.240363799966</v>
      </c>
      <c r="P80">
        <v>120.25634709990101</v>
      </c>
      <c r="Q80">
        <v>121.239644499961</v>
      </c>
      <c r="R80">
        <v>121.25633809994901</v>
      </c>
      <c r="S80">
        <v>121.907079599914</v>
      </c>
      <c r="T80" t="s">
        <v>38</v>
      </c>
      <c r="U80">
        <v>0</v>
      </c>
      <c r="V80">
        <v>0.65032649994827796</v>
      </c>
      <c r="W80" t="s">
        <v>33</v>
      </c>
      <c r="X80">
        <v>0</v>
      </c>
      <c r="Y80">
        <v>659478</v>
      </c>
      <c r="Z80">
        <v>1</v>
      </c>
      <c r="AA80" t="s">
        <v>34</v>
      </c>
      <c r="AB80" t="s">
        <v>35</v>
      </c>
      <c r="AD80" t="s">
        <v>36</v>
      </c>
      <c r="AE80">
        <v>59.921323317268097</v>
      </c>
      <c r="AF80" t="s">
        <v>37</v>
      </c>
    </row>
    <row r="81" spans="1:32" x14ac:dyDescent="0.3">
      <c r="A81">
        <v>79</v>
      </c>
      <c r="B81">
        <v>0</v>
      </c>
      <c r="C81">
        <v>79</v>
      </c>
      <c r="D81" t="s">
        <v>38</v>
      </c>
      <c r="E81">
        <v>1</v>
      </c>
      <c r="F81">
        <v>0.59282219992019203</v>
      </c>
      <c r="G81" t="s">
        <v>33</v>
      </c>
      <c r="H81">
        <v>4</v>
      </c>
      <c r="I81">
        <v>79</v>
      </c>
      <c r="J81">
        <v>0</v>
      </c>
      <c r="K81">
        <v>79</v>
      </c>
      <c r="L81">
        <v>0</v>
      </c>
      <c r="M81">
        <v>121.923064099974</v>
      </c>
      <c r="O81">
        <v>121.907519500004</v>
      </c>
      <c r="P81">
        <v>121.923064099974</v>
      </c>
      <c r="Q81">
        <v>122.906309799989</v>
      </c>
      <c r="R81">
        <v>122.923043199931</v>
      </c>
      <c r="S81">
        <v>123.506781099946</v>
      </c>
      <c r="T81" t="s">
        <v>38</v>
      </c>
      <c r="U81">
        <v>1</v>
      </c>
      <c r="V81">
        <v>0.59282219992019203</v>
      </c>
      <c r="W81" t="s">
        <v>33</v>
      </c>
      <c r="X81">
        <v>4</v>
      </c>
      <c r="Y81">
        <v>659478</v>
      </c>
      <c r="Z81">
        <v>1</v>
      </c>
      <c r="AA81" t="s">
        <v>34</v>
      </c>
      <c r="AB81" t="s">
        <v>35</v>
      </c>
      <c r="AD81" t="s">
        <v>36</v>
      </c>
      <c r="AE81">
        <v>59.921323317268097</v>
      </c>
      <c r="AF81" t="s">
        <v>37</v>
      </c>
    </row>
    <row r="82" spans="1:32" x14ac:dyDescent="0.3">
      <c r="A82">
        <v>80</v>
      </c>
      <c r="B82">
        <v>0</v>
      </c>
      <c r="C82">
        <v>80</v>
      </c>
      <c r="D82" t="s">
        <v>32</v>
      </c>
      <c r="E82">
        <v>0</v>
      </c>
      <c r="F82">
        <v>1.5346855999669</v>
      </c>
      <c r="G82" t="s">
        <v>33</v>
      </c>
      <c r="H82">
        <v>-3</v>
      </c>
      <c r="I82">
        <v>80</v>
      </c>
      <c r="J82">
        <v>0</v>
      </c>
      <c r="K82">
        <v>80</v>
      </c>
      <c r="L82">
        <v>0</v>
      </c>
      <c r="M82">
        <v>123.525177199975</v>
      </c>
      <c r="O82">
        <v>123.507043099962</v>
      </c>
      <c r="P82">
        <v>123.525177199975</v>
      </c>
      <c r="Q82">
        <v>124.50631319999199</v>
      </c>
      <c r="R82">
        <v>124.540009399992</v>
      </c>
      <c r="S82">
        <v>126.056755099911</v>
      </c>
      <c r="T82" t="s">
        <v>32</v>
      </c>
      <c r="U82">
        <v>0</v>
      </c>
      <c r="V82">
        <v>1.5346855999669</v>
      </c>
      <c r="W82" t="s">
        <v>33</v>
      </c>
      <c r="X82">
        <v>-3</v>
      </c>
      <c r="Y82">
        <v>659478</v>
      </c>
      <c r="Z82">
        <v>1</v>
      </c>
      <c r="AA82" t="s">
        <v>34</v>
      </c>
      <c r="AB82" t="s">
        <v>35</v>
      </c>
      <c r="AD82" t="s">
        <v>36</v>
      </c>
      <c r="AE82">
        <v>59.921323317268097</v>
      </c>
      <c r="AF82" t="s">
        <v>37</v>
      </c>
    </row>
    <row r="83" spans="1:32" x14ac:dyDescent="0.3">
      <c r="A83">
        <v>81</v>
      </c>
      <c r="B83">
        <v>0</v>
      </c>
      <c r="C83">
        <v>81</v>
      </c>
      <c r="D83" t="s">
        <v>38</v>
      </c>
      <c r="E83">
        <v>0</v>
      </c>
      <c r="F83">
        <v>0.60430410003755197</v>
      </c>
      <c r="G83" t="s">
        <v>33</v>
      </c>
      <c r="H83">
        <v>0</v>
      </c>
      <c r="I83">
        <v>81</v>
      </c>
      <c r="J83">
        <v>0</v>
      </c>
      <c r="K83">
        <v>81</v>
      </c>
      <c r="L83">
        <v>0</v>
      </c>
      <c r="M83">
        <v>126.07292209996299</v>
      </c>
      <c r="O83">
        <v>126.057053799973</v>
      </c>
      <c r="P83">
        <v>126.07292209996299</v>
      </c>
      <c r="Q83">
        <v>127.056275299983</v>
      </c>
      <c r="R83">
        <v>127.073177399928</v>
      </c>
      <c r="S83">
        <v>127.673588800011</v>
      </c>
      <c r="T83" t="s">
        <v>38</v>
      </c>
      <c r="U83">
        <v>0</v>
      </c>
      <c r="V83">
        <v>0.60430410003755197</v>
      </c>
      <c r="W83" t="s">
        <v>33</v>
      </c>
      <c r="X83">
        <v>0</v>
      </c>
      <c r="Y83">
        <v>659478</v>
      </c>
      <c r="Z83">
        <v>1</v>
      </c>
      <c r="AA83" t="s">
        <v>34</v>
      </c>
      <c r="AB83" t="s">
        <v>35</v>
      </c>
      <c r="AD83" t="s">
        <v>36</v>
      </c>
      <c r="AE83">
        <v>59.921323317268097</v>
      </c>
      <c r="AF83" t="s">
        <v>37</v>
      </c>
    </row>
    <row r="84" spans="1:32" x14ac:dyDescent="0.3">
      <c r="A84">
        <v>82</v>
      </c>
      <c r="B84">
        <v>0</v>
      </c>
      <c r="C84">
        <v>82</v>
      </c>
      <c r="D84" t="s">
        <v>32</v>
      </c>
      <c r="E84">
        <v>1</v>
      </c>
      <c r="F84">
        <v>0.353241300093941</v>
      </c>
      <c r="G84" t="s">
        <v>33</v>
      </c>
      <c r="H84">
        <v>0</v>
      </c>
      <c r="I84">
        <v>82</v>
      </c>
      <c r="J84">
        <v>0</v>
      </c>
      <c r="K84">
        <v>82</v>
      </c>
      <c r="L84">
        <v>0</v>
      </c>
      <c r="M84">
        <v>127.68978329992299</v>
      </c>
      <c r="O84">
        <v>127.673818999901</v>
      </c>
      <c r="P84">
        <v>127.68978329992299</v>
      </c>
      <c r="Q84">
        <v>128.67295509995799</v>
      </c>
      <c r="R84">
        <v>128.689676599926</v>
      </c>
      <c r="S84">
        <v>129.04053909995099</v>
      </c>
      <c r="T84" t="s">
        <v>32</v>
      </c>
      <c r="U84">
        <v>1</v>
      </c>
      <c r="V84">
        <v>0.353241300093941</v>
      </c>
      <c r="W84" t="s">
        <v>33</v>
      </c>
      <c r="X84">
        <v>0</v>
      </c>
      <c r="Y84">
        <v>659478</v>
      </c>
      <c r="Z84">
        <v>1</v>
      </c>
      <c r="AA84" t="s">
        <v>34</v>
      </c>
      <c r="AB84" t="s">
        <v>35</v>
      </c>
      <c r="AD84" t="s">
        <v>36</v>
      </c>
      <c r="AE84">
        <v>59.921323317268097</v>
      </c>
      <c r="AF84" t="s">
        <v>37</v>
      </c>
    </row>
    <row r="85" spans="1:32" x14ac:dyDescent="0.3">
      <c r="A85">
        <v>83</v>
      </c>
      <c r="B85">
        <v>0</v>
      </c>
      <c r="C85">
        <v>83</v>
      </c>
      <c r="D85" t="s">
        <v>38</v>
      </c>
      <c r="E85">
        <v>0</v>
      </c>
      <c r="F85">
        <v>4.5841000974178297E-3</v>
      </c>
      <c r="G85" t="s">
        <v>33</v>
      </c>
      <c r="H85">
        <v>0</v>
      </c>
      <c r="I85">
        <v>83</v>
      </c>
      <c r="J85">
        <v>0</v>
      </c>
      <c r="K85">
        <v>83</v>
      </c>
      <c r="L85">
        <v>0</v>
      </c>
      <c r="M85">
        <v>129.05639659997499</v>
      </c>
      <c r="O85">
        <v>129.04081089992499</v>
      </c>
      <c r="P85">
        <v>129.05639659997499</v>
      </c>
      <c r="Q85">
        <v>130.039731199969</v>
      </c>
      <c r="R85">
        <v>130.05636219994599</v>
      </c>
      <c r="S85">
        <v>130.056748499977</v>
      </c>
      <c r="T85" t="s">
        <v>38</v>
      </c>
      <c r="U85">
        <v>0</v>
      </c>
      <c r="V85">
        <v>4.5841000974178297E-3</v>
      </c>
      <c r="W85" t="s">
        <v>33</v>
      </c>
      <c r="X85">
        <v>0</v>
      </c>
      <c r="Y85">
        <v>659478</v>
      </c>
      <c r="Z85">
        <v>1</v>
      </c>
      <c r="AA85" t="s">
        <v>34</v>
      </c>
      <c r="AB85" t="s">
        <v>35</v>
      </c>
      <c r="AD85" t="s">
        <v>36</v>
      </c>
      <c r="AE85">
        <v>59.921323317268097</v>
      </c>
      <c r="AF85" t="s">
        <v>37</v>
      </c>
    </row>
    <row r="86" spans="1:32" x14ac:dyDescent="0.3">
      <c r="A86">
        <v>84</v>
      </c>
      <c r="B86">
        <v>0</v>
      </c>
      <c r="C86">
        <v>84</v>
      </c>
      <c r="D86" t="s">
        <v>38</v>
      </c>
      <c r="E86">
        <v>1</v>
      </c>
      <c r="F86">
        <v>1.48436060000676</v>
      </c>
      <c r="G86" t="s">
        <v>33</v>
      </c>
      <c r="H86">
        <v>1</v>
      </c>
      <c r="I86">
        <v>84</v>
      </c>
      <c r="J86">
        <v>0</v>
      </c>
      <c r="K86">
        <v>84</v>
      </c>
      <c r="L86">
        <v>0</v>
      </c>
      <c r="M86">
        <v>130.07323999993901</v>
      </c>
      <c r="O86">
        <v>130.05703089991499</v>
      </c>
      <c r="P86">
        <v>130.07323999993901</v>
      </c>
      <c r="Q86">
        <v>131.056316199945</v>
      </c>
      <c r="R86">
        <v>131.07320619991501</v>
      </c>
      <c r="S86">
        <v>132.55707420001201</v>
      </c>
      <c r="T86" t="s">
        <v>38</v>
      </c>
      <c r="U86">
        <v>1</v>
      </c>
      <c r="V86">
        <v>1.48436060000676</v>
      </c>
      <c r="W86" t="s">
        <v>33</v>
      </c>
      <c r="X86">
        <v>1</v>
      </c>
      <c r="Y86">
        <v>659478</v>
      </c>
      <c r="Z86">
        <v>1</v>
      </c>
      <c r="AA86" t="s">
        <v>34</v>
      </c>
      <c r="AB86" t="s">
        <v>35</v>
      </c>
      <c r="AD86" t="s">
        <v>36</v>
      </c>
      <c r="AE86">
        <v>59.921323317268097</v>
      </c>
      <c r="AF86" t="s">
        <v>37</v>
      </c>
    </row>
    <row r="87" spans="1:32" x14ac:dyDescent="0.3">
      <c r="A87">
        <v>85</v>
      </c>
      <c r="B87">
        <v>0</v>
      </c>
      <c r="C87">
        <v>85</v>
      </c>
      <c r="D87" t="s">
        <v>32</v>
      </c>
      <c r="E87">
        <v>1</v>
      </c>
      <c r="F87">
        <v>2.8538599959574602E-2</v>
      </c>
      <c r="G87" t="s">
        <v>33</v>
      </c>
      <c r="H87">
        <v>0</v>
      </c>
      <c r="I87">
        <v>85</v>
      </c>
      <c r="J87">
        <v>0</v>
      </c>
      <c r="K87">
        <v>85</v>
      </c>
      <c r="L87">
        <v>0</v>
      </c>
      <c r="M87">
        <v>132.573277499992</v>
      </c>
      <c r="O87">
        <v>132.557353099924</v>
      </c>
      <c r="P87">
        <v>132.573277499992</v>
      </c>
      <c r="Q87">
        <v>133.556495399912</v>
      </c>
      <c r="R87">
        <v>133.573097699903</v>
      </c>
      <c r="S87">
        <v>133.590761399944</v>
      </c>
      <c r="T87" t="s">
        <v>32</v>
      </c>
      <c r="U87">
        <v>1</v>
      </c>
      <c r="V87">
        <v>2.8538599959574602E-2</v>
      </c>
      <c r="W87" t="s">
        <v>33</v>
      </c>
      <c r="X87">
        <v>0</v>
      </c>
      <c r="Y87">
        <v>659478</v>
      </c>
      <c r="Z87">
        <v>1</v>
      </c>
      <c r="AA87" t="s">
        <v>34</v>
      </c>
      <c r="AB87" t="s">
        <v>35</v>
      </c>
      <c r="AD87" t="s">
        <v>36</v>
      </c>
      <c r="AE87">
        <v>59.921323317268097</v>
      </c>
      <c r="AF87" t="s">
        <v>37</v>
      </c>
    </row>
    <row r="88" spans="1:32" x14ac:dyDescent="0.3">
      <c r="A88">
        <v>86</v>
      </c>
      <c r="B88">
        <v>0</v>
      </c>
      <c r="C88">
        <v>86</v>
      </c>
      <c r="D88" t="s">
        <v>38</v>
      </c>
      <c r="E88">
        <v>1</v>
      </c>
      <c r="F88">
        <v>0.475979799986816</v>
      </c>
      <c r="G88" t="s">
        <v>33</v>
      </c>
      <c r="H88">
        <v>2</v>
      </c>
      <c r="I88">
        <v>86</v>
      </c>
      <c r="J88">
        <v>0</v>
      </c>
      <c r="K88">
        <v>86</v>
      </c>
      <c r="L88">
        <v>0</v>
      </c>
      <c r="M88">
        <v>133.60645560000501</v>
      </c>
      <c r="O88">
        <v>133.591173599939</v>
      </c>
      <c r="P88">
        <v>133.60645560000501</v>
      </c>
      <c r="Q88">
        <v>134.60647869994801</v>
      </c>
      <c r="R88">
        <v>134.60647869994801</v>
      </c>
      <c r="S88">
        <v>135.090502099948</v>
      </c>
      <c r="T88" t="s">
        <v>38</v>
      </c>
      <c r="U88">
        <v>1</v>
      </c>
      <c r="V88">
        <v>0.475979799986816</v>
      </c>
      <c r="W88" t="s">
        <v>33</v>
      </c>
      <c r="X88">
        <v>2</v>
      </c>
      <c r="Y88">
        <v>659478</v>
      </c>
      <c r="Z88">
        <v>1</v>
      </c>
      <c r="AA88" t="s">
        <v>34</v>
      </c>
      <c r="AB88" t="s">
        <v>35</v>
      </c>
      <c r="AD88" t="s">
        <v>36</v>
      </c>
      <c r="AE88">
        <v>59.921323317268097</v>
      </c>
      <c r="AF88" t="s">
        <v>37</v>
      </c>
    </row>
    <row r="89" spans="1:32" x14ac:dyDescent="0.3">
      <c r="A89">
        <v>87</v>
      </c>
      <c r="B89">
        <v>0</v>
      </c>
      <c r="C89">
        <v>87</v>
      </c>
      <c r="D89" t="s">
        <v>38</v>
      </c>
      <c r="E89">
        <v>0</v>
      </c>
      <c r="F89">
        <v>0.95868410007096805</v>
      </c>
      <c r="G89" t="s">
        <v>33</v>
      </c>
      <c r="H89">
        <v>0</v>
      </c>
      <c r="I89">
        <v>87</v>
      </c>
      <c r="J89">
        <v>0</v>
      </c>
      <c r="K89">
        <v>87</v>
      </c>
      <c r="L89">
        <v>0</v>
      </c>
      <c r="M89">
        <v>135.106255799997</v>
      </c>
      <c r="O89">
        <v>135.09092069999301</v>
      </c>
      <c r="P89">
        <v>135.106255799997</v>
      </c>
      <c r="Q89">
        <v>136.08980239997601</v>
      </c>
      <c r="R89">
        <v>136.10632099991199</v>
      </c>
      <c r="S89">
        <v>137.05687249998999</v>
      </c>
      <c r="T89" t="s">
        <v>38</v>
      </c>
      <c r="U89">
        <v>0</v>
      </c>
      <c r="V89">
        <v>0.95868410007096805</v>
      </c>
      <c r="W89" t="s">
        <v>33</v>
      </c>
      <c r="X89">
        <v>0</v>
      </c>
      <c r="Y89">
        <v>659478</v>
      </c>
      <c r="Z89">
        <v>1</v>
      </c>
      <c r="AA89" t="s">
        <v>34</v>
      </c>
      <c r="AB89" t="s">
        <v>35</v>
      </c>
      <c r="AD89" t="s">
        <v>36</v>
      </c>
      <c r="AE89">
        <v>59.921323317268097</v>
      </c>
      <c r="AF89" t="s">
        <v>37</v>
      </c>
    </row>
    <row r="90" spans="1:32" x14ac:dyDescent="0.3">
      <c r="A90">
        <v>88</v>
      </c>
      <c r="B90">
        <v>0</v>
      </c>
      <c r="C90">
        <v>88</v>
      </c>
      <c r="D90" t="s">
        <v>32</v>
      </c>
      <c r="E90">
        <v>0</v>
      </c>
      <c r="F90">
        <v>0.133081100066192</v>
      </c>
      <c r="G90" t="s">
        <v>33</v>
      </c>
      <c r="H90">
        <v>-4</v>
      </c>
      <c r="I90">
        <v>88</v>
      </c>
      <c r="J90">
        <v>0</v>
      </c>
      <c r="K90">
        <v>88</v>
      </c>
      <c r="L90">
        <v>0</v>
      </c>
      <c r="M90">
        <v>137.073289699968</v>
      </c>
      <c r="O90">
        <v>137.05715999996701</v>
      </c>
      <c r="P90">
        <v>137.073289699968</v>
      </c>
      <c r="Q90">
        <v>138.056442099972</v>
      </c>
      <c r="R90">
        <v>138.07313359994399</v>
      </c>
      <c r="S90">
        <v>138.190419699996</v>
      </c>
      <c r="T90" t="s">
        <v>32</v>
      </c>
      <c r="U90">
        <v>0</v>
      </c>
      <c r="V90">
        <v>0.133081100066192</v>
      </c>
      <c r="W90" t="s">
        <v>33</v>
      </c>
      <c r="X90">
        <v>-4</v>
      </c>
      <c r="Y90">
        <v>659478</v>
      </c>
      <c r="Z90">
        <v>1</v>
      </c>
      <c r="AA90" t="s">
        <v>34</v>
      </c>
      <c r="AB90" t="s">
        <v>35</v>
      </c>
      <c r="AD90" t="s">
        <v>36</v>
      </c>
      <c r="AE90">
        <v>59.921323317268097</v>
      </c>
      <c r="AF90" t="s">
        <v>37</v>
      </c>
    </row>
    <row r="91" spans="1:32" x14ac:dyDescent="0.3">
      <c r="A91">
        <v>89</v>
      </c>
      <c r="B91">
        <v>0</v>
      </c>
      <c r="C91">
        <v>89</v>
      </c>
      <c r="D91" t="s">
        <v>32</v>
      </c>
      <c r="E91">
        <v>1</v>
      </c>
      <c r="F91">
        <v>0.60695760010275901</v>
      </c>
      <c r="G91" t="s">
        <v>33</v>
      </c>
      <c r="H91">
        <v>0</v>
      </c>
      <c r="I91">
        <v>89</v>
      </c>
      <c r="J91">
        <v>0</v>
      </c>
      <c r="K91">
        <v>89</v>
      </c>
      <c r="L91">
        <v>0</v>
      </c>
      <c r="M91">
        <v>138.20630419999301</v>
      </c>
      <c r="O91">
        <v>138.19083549990299</v>
      </c>
      <c r="P91">
        <v>138.20630419999301</v>
      </c>
      <c r="Q91">
        <v>139.18969119992099</v>
      </c>
      <c r="R91">
        <v>139.206230400013</v>
      </c>
      <c r="S91">
        <v>139.80689909995999</v>
      </c>
      <c r="T91" t="s">
        <v>32</v>
      </c>
      <c r="U91">
        <v>1</v>
      </c>
      <c r="V91">
        <v>0.60695760010275901</v>
      </c>
      <c r="W91" t="s">
        <v>33</v>
      </c>
      <c r="X91">
        <v>0</v>
      </c>
      <c r="Y91">
        <v>659478</v>
      </c>
      <c r="Z91">
        <v>1</v>
      </c>
      <c r="AA91" t="s">
        <v>34</v>
      </c>
      <c r="AB91" t="s">
        <v>35</v>
      </c>
      <c r="AD91" t="s">
        <v>36</v>
      </c>
      <c r="AE91">
        <v>59.921323317268097</v>
      </c>
      <c r="AF91" t="s">
        <v>37</v>
      </c>
    </row>
    <row r="92" spans="1:32" x14ac:dyDescent="0.3">
      <c r="A92">
        <v>90</v>
      </c>
      <c r="B92">
        <v>0</v>
      </c>
      <c r="C92">
        <v>90</v>
      </c>
      <c r="D92" t="s">
        <v>32</v>
      </c>
      <c r="E92">
        <v>1</v>
      </c>
      <c r="F92">
        <v>0.25541169999632901</v>
      </c>
      <c r="G92" t="s">
        <v>33</v>
      </c>
      <c r="H92">
        <v>0</v>
      </c>
      <c r="I92">
        <v>90</v>
      </c>
      <c r="J92">
        <v>0</v>
      </c>
      <c r="K92">
        <v>90</v>
      </c>
      <c r="L92">
        <v>0</v>
      </c>
      <c r="M92">
        <v>139.82305299991199</v>
      </c>
      <c r="O92">
        <v>139.80718699994</v>
      </c>
      <c r="P92">
        <v>139.82305299991199</v>
      </c>
      <c r="Q92">
        <v>140.806244299979</v>
      </c>
      <c r="R92">
        <v>140.823096200008</v>
      </c>
      <c r="S92">
        <v>141.073491499992</v>
      </c>
      <c r="T92" t="s">
        <v>32</v>
      </c>
      <c r="U92">
        <v>1</v>
      </c>
      <c r="V92">
        <v>0.25541169999632901</v>
      </c>
      <c r="W92" t="s">
        <v>33</v>
      </c>
      <c r="X92">
        <v>0</v>
      </c>
      <c r="Y92">
        <v>659478</v>
      </c>
      <c r="Z92">
        <v>1</v>
      </c>
      <c r="AA92" t="s">
        <v>34</v>
      </c>
      <c r="AB92" t="s">
        <v>35</v>
      </c>
      <c r="AD92" t="s">
        <v>36</v>
      </c>
      <c r="AE92">
        <v>59.921323317268097</v>
      </c>
      <c r="AF92" t="s">
        <v>37</v>
      </c>
    </row>
    <row r="93" spans="1:32" x14ac:dyDescent="0.3">
      <c r="A93">
        <v>91</v>
      </c>
      <c r="B93">
        <v>0</v>
      </c>
      <c r="C93">
        <v>91</v>
      </c>
      <c r="D93" t="s">
        <v>32</v>
      </c>
      <c r="E93">
        <v>1</v>
      </c>
      <c r="F93">
        <v>0.40901579998899201</v>
      </c>
      <c r="G93" t="s">
        <v>33</v>
      </c>
      <c r="H93">
        <v>0</v>
      </c>
      <c r="I93">
        <v>91</v>
      </c>
      <c r="J93">
        <v>0</v>
      </c>
      <c r="K93">
        <v>91</v>
      </c>
      <c r="L93">
        <v>0</v>
      </c>
      <c r="M93">
        <v>141.08965079998501</v>
      </c>
      <c r="O93">
        <v>141.07370349997601</v>
      </c>
      <c r="P93">
        <v>141.08965079998501</v>
      </c>
      <c r="Q93">
        <v>142.07317769993</v>
      </c>
      <c r="R93">
        <v>142.08970909996401</v>
      </c>
      <c r="S93">
        <v>142.489885999937</v>
      </c>
      <c r="T93" t="s">
        <v>32</v>
      </c>
      <c r="U93">
        <v>1</v>
      </c>
      <c r="V93">
        <v>0.40901579998899201</v>
      </c>
      <c r="W93" t="s">
        <v>33</v>
      </c>
      <c r="X93">
        <v>0</v>
      </c>
      <c r="Y93">
        <v>659478</v>
      </c>
      <c r="Z93">
        <v>1</v>
      </c>
      <c r="AA93" t="s">
        <v>34</v>
      </c>
      <c r="AB93" t="s">
        <v>35</v>
      </c>
      <c r="AD93" t="s">
        <v>36</v>
      </c>
      <c r="AE93">
        <v>59.921323317268097</v>
      </c>
      <c r="AF93" t="s">
        <v>37</v>
      </c>
    </row>
    <row r="94" spans="1:32" x14ac:dyDescent="0.3">
      <c r="A94">
        <v>92</v>
      </c>
      <c r="B94">
        <v>0</v>
      </c>
      <c r="C94">
        <v>92</v>
      </c>
      <c r="D94" t="s">
        <v>32</v>
      </c>
      <c r="E94">
        <v>1</v>
      </c>
      <c r="F94">
        <v>0.59113219997379896</v>
      </c>
      <c r="G94" t="s">
        <v>33</v>
      </c>
      <c r="H94">
        <v>0</v>
      </c>
      <c r="I94">
        <v>92</v>
      </c>
      <c r="J94">
        <v>0</v>
      </c>
      <c r="K94">
        <v>92</v>
      </c>
      <c r="L94">
        <v>0</v>
      </c>
      <c r="M94">
        <v>142.50621469993999</v>
      </c>
      <c r="O94">
        <v>142.49011199991199</v>
      </c>
      <c r="P94">
        <v>142.50621469993999</v>
      </c>
      <c r="Q94">
        <v>143.48976449994299</v>
      </c>
      <c r="R94">
        <v>143.506472799927</v>
      </c>
      <c r="S94">
        <v>144.090234800009</v>
      </c>
      <c r="T94" t="s">
        <v>32</v>
      </c>
      <c r="U94">
        <v>1</v>
      </c>
      <c r="V94">
        <v>0.59113219997379896</v>
      </c>
      <c r="W94" t="s">
        <v>33</v>
      </c>
      <c r="X94">
        <v>0</v>
      </c>
      <c r="Y94">
        <v>659478</v>
      </c>
      <c r="Z94">
        <v>1</v>
      </c>
      <c r="AA94" t="s">
        <v>34</v>
      </c>
      <c r="AB94" t="s">
        <v>35</v>
      </c>
      <c r="AD94" t="s">
        <v>36</v>
      </c>
      <c r="AE94">
        <v>59.921323317268097</v>
      </c>
      <c r="AF94" t="s">
        <v>37</v>
      </c>
    </row>
    <row r="95" spans="1:32" x14ac:dyDescent="0.3">
      <c r="A95">
        <v>93</v>
      </c>
      <c r="B95">
        <v>0</v>
      </c>
      <c r="C95">
        <v>93</v>
      </c>
      <c r="D95" t="s">
        <v>32</v>
      </c>
      <c r="E95">
        <v>0</v>
      </c>
      <c r="F95">
        <v>0.39974739996250702</v>
      </c>
      <c r="G95" t="s">
        <v>33</v>
      </c>
      <c r="H95">
        <v>4</v>
      </c>
      <c r="I95">
        <v>93</v>
      </c>
      <c r="J95">
        <v>0</v>
      </c>
      <c r="K95">
        <v>93</v>
      </c>
      <c r="L95">
        <v>0</v>
      </c>
      <c r="M95">
        <v>144.10618959995901</v>
      </c>
      <c r="O95">
        <v>144.09050599997801</v>
      </c>
      <c r="P95">
        <v>144.10618959995901</v>
      </c>
      <c r="Q95">
        <v>145.08963989990201</v>
      </c>
      <c r="R95">
        <v>145.10625419998499</v>
      </c>
      <c r="S95">
        <v>145.49000019999201</v>
      </c>
      <c r="T95" t="s">
        <v>32</v>
      </c>
      <c r="U95">
        <v>0</v>
      </c>
      <c r="V95">
        <v>0.39974739996250702</v>
      </c>
      <c r="W95" t="s">
        <v>33</v>
      </c>
      <c r="X95">
        <v>4</v>
      </c>
      <c r="Y95">
        <v>659478</v>
      </c>
      <c r="Z95">
        <v>1</v>
      </c>
      <c r="AA95" t="s">
        <v>34</v>
      </c>
      <c r="AB95" t="s">
        <v>35</v>
      </c>
      <c r="AD95" t="s">
        <v>36</v>
      </c>
      <c r="AE95">
        <v>59.921323317268097</v>
      </c>
      <c r="AF95" t="s">
        <v>37</v>
      </c>
    </row>
    <row r="96" spans="1:32" x14ac:dyDescent="0.3">
      <c r="A96">
        <v>94</v>
      </c>
      <c r="B96">
        <v>0</v>
      </c>
      <c r="C96">
        <v>94</v>
      </c>
      <c r="D96" t="s">
        <v>32</v>
      </c>
      <c r="E96">
        <v>0</v>
      </c>
      <c r="F96">
        <v>0.27812849998008399</v>
      </c>
      <c r="G96" t="s">
        <v>33</v>
      </c>
      <c r="H96">
        <v>-2</v>
      </c>
      <c r="I96">
        <v>94</v>
      </c>
      <c r="J96">
        <v>0</v>
      </c>
      <c r="K96">
        <v>94</v>
      </c>
      <c r="L96">
        <v>0</v>
      </c>
      <c r="M96">
        <v>145.506235299981</v>
      </c>
      <c r="O96">
        <v>145.49028099991801</v>
      </c>
      <c r="P96">
        <v>145.506235299981</v>
      </c>
      <c r="Q96">
        <v>146.489730399916</v>
      </c>
      <c r="R96">
        <v>146.50621349993099</v>
      </c>
      <c r="S96">
        <v>146.77356509992299</v>
      </c>
      <c r="T96" t="s">
        <v>32</v>
      </c>
      <c r="U96">
        <v>0</v>
      </c>
      <c r="V96">
        <v>0.27812849998008399</v>
      </c>
      <c r="W96" t="s">
        <v>33</v>
      </c>
      <c r="X96">
        <v>-2</v>
      </c>
      <c r="Y96">
        <v>659478</v>
      </c>
      <c r="Z96">
        <v>1</v>
      </c>
      <c r="AA96" t="s">
        <v>34</v>
      </c>
      <c r="AB96" t="s">
        <v>35</v>
      </c>
      <c r="AD96" t="s">
        <v>36</v>
      </c>
      <c r="AE96">
        <v>59.921323317268097</v>
      </c>
      <c r="AF96" t="s">
        <v>37</v>
      </c>
    </row>
    <row r="97" spans="1:32" x14ac:dyDescent="0.3">
      <c r="A97">
        <v>95</v>
      </c>
      <c r="B97">
        <v>0</v>
      </c>
      <c r="C97">
        <v>95</v>
      </c>
      <c r="D97" t="s">
        <v>32</v>
      </c>
      <c r="E97">
        <v>1</v>
      </c>
      <c r="F97">
        <v>0.18788860004860899</v>
      </c>
      <c r="G97" t="s">
        <v>33</v>
      </c>
      <c r="H97">
        <v>0</v>
      </c>
      <c r="I97">
        <v>95</v>
      </c>
      <c r="J97">
        <v>0</v>
      </c>
      <c r="K97">
        <v>95</v>
      </c>
      <c r="L97">
        <v>0</v>
      </c>
      <c r="M97">
        <v>146.78963799995799</v>
      </c>
      <c r="O97">
        <v>146.773843899951</v>
      </c>
      <c r="P97">
        <v>146.78963799995799</v>
      </c>
      <c r="Q97">
        <v>147.77308620000201</v>
      </c>
      <c r="R97">
        <v>147.78969919995799</v>
      </c>
      <c r="S97">
        <v>147.97347570001099</v>
      </c>
      <c r="T97" t="s">
        <v>32</v>
      </c>
      <c r="U97">
        <v>1</v>
      </c>
      <c r="V97">
        <v>0.18788860004860899</v>
      </c>
      <c r="W97" t="s">
        <v>33</v>
      </c>
      <c r="X97">
        <v>0</v>
      </c>
      <c r="Y97">
        <v>659478</v>
      </c>
      <c r="Z97">
        <v>1</v>
      </c>
      <c r="AA97" t="s">
        <v>34</v>
      </c>
      <c r="AB97" t="s">
        <v>35</v>
      </c>
      <c r="AD97" t="s">
        <v>36</v>
      </c>
      <c r="AE97">
        <v>59.921323317268097</v>
      </c>
      <c r="AF97" t="s">
        <v>37</v>
      </c>
    </row>
    <row r="98" spans="1:32" x14ac:dyDescent="0.3">
      <c r="A98">
        <v>96</v>
      </c>
      <c r="B98">
        <v>0</v>
      </c>
      <c r="C98">
        <v>96</v>
      </c>
      <c r="D98" t="s">
        <v>32</v>
      </c>
      <c r="E98">
        <v>0</v>
      </c>
      <c r="F98">
        <v>0.197518199915066</v>
      </c>
      <c r="G98" t="s">
        <v>33</v>
      </c>
      <c r="H98">
        <v>-4</v>
      </c>
      <c r="I98">
        <v>96</v>
      </c>
      <c r="J98">
        <v>0</v>
      </c>
      <c r="K98">
        <v>96</v>
      </c>
      <c r="L98">
        <v>0</v>
      </c>
      <c r="M98">
        <v>147.98971739993399</v>
      </c>
      <c r="O98">
        <v>147.97372100001601</v>
      </c>
      <c r="P98">
        <v>147.98971739993399</v>
      </c>
      <c r="Q98">
        <v>148.97310669999499</v>
      </c>
      <c r="R98">
        <v>148.9896191</v>
      </c>
      <c r="S98">
        <v>149.17437899997401</v>
      </c>
      <c r="T98" t="s">
        <v>32</v>
      </c>
      <c r="U98">
        <v>0</v>
      </c>
      <c r="V98">
        <v>0.197518199915066</v>
      </c>
      <c r="W98" t="s">
        <v>33</v>
      </c>
      <c r="X98">
        <v>-4</v>
      </c>
      <c r="Y98">
        <v>659478</v>
      </c>
      <c r="Z98">
        <v>1</v>
      </c>
      <c r="AA98" t="s">
        <v>34</v>
      </c>
      <c r="AB98" t="s">
        <v>35</v>
      </c>
      <c r="AD98" t="s">
        <v>36</v>
      </c>
      <c r="AE98">
        <v>59.921323317268097</v>
      </c>
      <c r="AF98" t="s">
        <v>37</v>
      </c>
    </row>
    <row r="99" spans="1:32" x14ac:dyDescent="0.3">
      <c r="A99">
        <v>97</v>
      </c>
      <c r="B99">
        <v>0</v>
      </c>
      <c r="C99">
        <v>97</v>
      </c>
      <c r="D99" t="s">
        <v>38</v>
      </c>
      <c r="E99">
        <v>0</v>
      </c>
      <c r="F99">
        <v>7.5498100020922707E-2</v>
      </c>
      <c r="G99" t="s">
        <v>33</v>
      </c>
      <c r="H99">
        <v>0</v>
      </c>
      <c r="I99">
        <v>97</v>
      </c>
      <c r="J99">
        <v>0</v>
      </c>
      <c r="K99">
        <v>97</v>
      </c>
      <c r="L99">
        <v>0</v>
      </c>
      <c r="M99">
        <v>149.18963279994199</v>
      </c>
      <c r="O99">
        <v>149.17471769999199</v>
      </c>
      <c r="P99">
        <v>149.18963279994199</v>
      </c>
      <c r="Q99">
        <v>150.189748200005</v>
      </c>
      <c r="R99">
        <v>150.189748200005</v>
      </c>
      <c r="S99">
        <v>150.27369329996799</v>
      </c>
      <c r="T99" t="s">
        <v>38</v>
      </c>
      <c r="U99">
        <v>0</v>
      </c>
      <c r="V99">
        <v>7.5498100020922707E-2</v>
      </c>
      <c r="W99" t="s">
        <v>33</v>
      </c>
      <c r="X99">
        <v>0</v>
      </c>
      <c r="Y99">
        <v>659478</v>
      </c>
      <c r="Z99">
        <v>1</v>
      </c>
      <c r="AA99" t="s">
        <v>34</v>
      </c>
      <c r="AB99" t="s">
        <v>35</v>
      </c>
      <c r="AD99" t="s">
        <v>36</v>
      </c>
      <c r="AE99">
        <v>59.921323317268097</v>
      </c>
      <c r="AF99" t="s">
        <v>37</v>
      </c>
    </row>
    <row r="100" spans="1:32" x14ac:dyDescent="0.3">
      <c r="A100">
        <v>98</v>
      </c>
      <c r="B100">
        <v>0</v>
      </c>
      <c r="C100">
        <v>98</v>
      </c>
      <c r="D100" t="s">
        <v>38</v>
      </c>
      <c r="E100">
        <v>1</v>
      </c>
      <c r="F100">
        <v>0.252727499930188</v>
      </c>
      <c r="G100" t="s">
        <v>33</v>
      </c>
      <c r="H100">
        <v>4</v>
      </c>
      <c r="I100">
        <v>98</v>
      </c>
      <c r="J100">
        <v>0</v>
      </c>
      <c r="K100">
        <v>98</v>
      </c>
      <c r="L100">
        <v>0</v>
      </c>
      <c r="M100">
        <v>150.28970849991299</v>
      </c>
      <c r="O100">
        <v>150.274065100005</v>
      </c>
      <c r="P100">
        <v>150.28970849991299</v>
      </c>
      <c r="Q100">
        <v>151.273123699938</v>
      </c>
      <c r="R100">
        <v>151.28968369995701</v>
      </c>
      <c r="S100">
        <v>151.540388499968</v>
      </c>
      <c r="T100" t="s">
        <v>38</v>
      </c>
      <c r="U100">
        <v>1</v>
      </c>
      <c r="V100">
        <v>0.252727499930188</v>
      </c>
      <c r="W100" t="s">
        <v>33</v>
      </c>
      <c r="X100">
        <v>4</v>
      </c>
      <c r="Y100">
        <v>659478</v>
      </c>
      <c r="Z100">
        <v>1</v>
      </c>
      <c r="AA100" t="s">
        <v>34</v>
      </c>
      <c r="AB100" t="s">
        <v>35</v>
      </c>
      <c r="AD100" t="s">
        <v>36</v>
      </c>
      <c r="AE100">
        <v>59.921323317268097</v>
      </c>
      <c r="AF100" t="s">
        <v>37</v>
      </c>
    </row>
    <row r="101" spans="1:32" x14ac:dyDescent="0.3">
      <c r="A101">
        <v>99</v>
      </c>
      <c r="B101">
        <v>0</v>
      </c>
      <c r="C101">
        <v>99</v>
      </c>
      <c r="D101" t="s">
        <v>38</v>
      </c>
      <c r="E101">
        <v>1</v>
      </c>
      <c r="F101">
        <v>9.3579299980774494E-2</v>
      </c>
      <c r="G101" t="s">
        <v>33</v>
      </c>
      <c r="H101">
        <v>1</v>
      </c>
      <c r="I101">
        <v>99</v>
      </c>
      <c r="J101">
        <v>0</v>
      </c>
      <c r="K101">
        <v>99</v>
      </c>
      <c r="L101">
        <v>0</v>
      </c>
      <c r="M101">
        <v>151.556364399963</v>
      </c>
      <c r="O101">
        <v>151.540582599933</v>
      </c>
      <c r="P101">
        <v>151.556364399963</v>
      </c>
      <c r="Q101">
        <v>152.539650599937</v>
      </c>
      <c r="R101">
        <v>152.55647989991101</v>
      </c>
      <c r="S101">
        <v>152.64003519993199</v>
      </c>
      <c r="T101" t="s">
        <v>38</v>
      </c>
      <c r="U101">
        <v>1</v>
      </c>
      <c r="V101">
        <v>9.3579299980774494E-2</v>
      </c>
      <c r="W101" t="s">
        <v>33</v>
      </c>
      <c r="X101">
        <v>1</v>
      </c>
      <c r="Y101">
        <v>659478</v>
      </c>
      <c r="Z101">
        <v>1</v>
      </c>
      <c r="AA101" t="s">
        <v>34</v>
      </c>
      <c r="AB101" t="s">
        <v>35</v>
      </c>
      <c r="AD101" t="s">
        <v>36</v>
      </c>
      <c r="AE101">
        <v>59.921323317268097</v>
      </c>
      <c r="AF10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3"/>
  <sheetViews>
    <sheetView tabSelected="1" topLeftCell="K1" workbookViewId="0">
      <selection activeCell="O8" sqref="O8"/>
    </sheetView>
  </sheetViews>
  <sheetFormatPr defaultRowHeight="14.4" x14ac:dyDescent="0.3"/>
  <cols>
    <col min="6" max="6" width="12.21875" customWidth="1"/>
    <col min="7" max="7" width="14.88671875" customWidth="1"/>
    <col min="9" max="9" width="15.33203125" customWidth="1"/>
    <col min="10" max="10" width="14" customWidth="1"/>
    <col min="11" max="11" width="13.109375" customWidth="1"/>
    <col min="12" max="12" width="15.33203125" customWidth="1"/>
    <col min="14" max="14" width="17.5546875" customWidth="1"/>
  </cols>
  <sheetData>
    <row r="1" spans="1:16" ht="15" thickBot="1" x14ac:dyDescent="0.35">
      <c r="A1" s="2" t="s">
        <v>3</v>
      </c>
      <c r="B1" s="3" t="s">
        <v>4</v>
      </c>
      <c r="C1" s="3" t="s">
        <v>7</v>
      </c>
      <c r="D1" s="8" t="s">
        <v>39</v>
      </c>
      <c r="E1" s="8" t="s">
        <v>40</v>
      </c>
      <c r="F1" s="8" t="s">
        <v>41</v>
      </c>
      <c r="G1" s="9" t="s">
        <v>42</v>
      </c>
      <c r="J1" s="1"/>
      <c r="K1" s="6" t="s">
        <v>43</v>
      </c>
      <c r="L1" s="6" t="s">
        <v>44</v>
      </c>
      <c r="M1" s="1"/>
      <c r="N1" s="1"/>
      <c r="O1" s="1"/>
      <c r="P1" s="6" t="s">
        <v>59</v>
      </c>
    </row>
    <row r="2" spans="1:16" x14ac:dyDescent="0.3">
      <c r="A2" s="5" t="s">
        <v>32</v>
      </c>
      <c r="B2" s="5">
        <v>0</v>
      </c>
      <c r="C2" s="5">
        <v>4</v>
      </c>
      <c r="D2" s="5"/>
      <c r="E2" s="5"/>
      <c r="F2" s="5">
        <v>1</v>
      </c>
      <c r="G2" s="5"/>
      <c r="J2" s="6" t="s">
        <v>45</v>
      </c>
      <c r="K2" s="1" t="s">
        <v>39</v>
      </c>
      <c r="L2" s="1" t="s">
        <v>48</v>
      </c>
      <c r="M2" s="1" t="s">
        <v>50</v>
      </c>
      <c r="N2" s="1" t="s">
        <v>52</v>
      </c>
      <c r="O2" s="1">
        <f>D103/(D103+E103)</f>
        <v>0.5</v>
      </c>
      <c r="P2" s="1">
        <f>_xlfn.NORM.S.INV(O2)</f>
        <v>0</v>
      </c>
    </row>
    <row r="3" spans="1:16" x14ac:dyDescent="0.3">
      <c r="A3" s="1" t="s">
        <v>38</v>
      </c>
      <c r="B3" s="1">
        <v>1</v>
      </c>
      <c r="C3" s="1">
        <v>-4</v>
      </c>
      <c r="D3" s="1"/>
      <c r="E3" s="1"/>
      <c r="F3" s="1"/>
      <c r="G3" s="1">
        <v>1</v>
      </c>
      <c r="J3" s="6" t="s">
        <v>46</v>
      </c>
      <c r="K3" s="1" t="s">
        <v>47</v>
      </c>
      <c r="L3" s="1" t="s">
        <v>49</v>
      </c>
      <c r="M3" s="1" t="s">
        <v>51</v>
      </c>
      <c r="N3" s="1" t="s">
        <v>53</v>
      </c>
      <c r="O3" s="1">
        <f>F103/(F103+G103)</f>
        <v>0.52272727272727271</v>
      </c>
      <c r="P3" s="1">
        <f>_xlfn.NORM.S.INV(O3)</f>
        <v>5.6999674358374317E-2</v>
      </c>
    </row>
    <row r="4" spans="1:16" x14ac:dyDescent="0.3">
      <c r="A4" s="1" t="s">
        <v>32</v>
      </c>
      <c r="B4" s="1">
        <v>1</v>
      </c>
      <c r="C4" s="1">
        <v>0</v>
      </c>
      <c r="D4" s="1">
        <v>1</v>
      </c>
      <c r="E4" s="1"/>
      <c r="F4" s="1"/>
      <c r="G4" s="1"/>
    </row>
    <row r="5" spans="1:16" x14ac:dyDescent="0.3">
      <c r="A5" s="1" t="s">
        <v>32</v>
      </c>
      <c r="B5" s="1">
        <v>1</v>
      </c>
      <c r="C5" s="1">
        <v>0</v>
      </c>
      <c r="D5" s="1">
        <v>1</v>
      </c>
      <c r="E5" s="1"/>
      <c r="F5" s="1"/>
      <c r="G5" s="1"/>
    </row>
    <row r="6" spans="1:16" x14ac:dyDescent="0.3">
      <c r="A6" s="1" t="s">
        <v>32</v>
      </c>
      <c r="B6" s="1">
        <v>0</v>
      </c>
      <c r="C6" s="1">
        <v>-3</v>
      </c>
      <c r="D6" s="1"/>
      <c r="E6" s="1"/>
      <c r="F6" s="1">
        <v>1</v>
      </c>
      <c r="G6" s="1"/>
      <c r="I6" t="s">
        <v>66</v>
      </c>
    </row>
    <row r="7" spans="1:16" x14ac:dyDescent="0.3">
      <c r="A7" s="1" t="s">
        <v>32</v>
      </c>
      <c r="B7" s="1">
        <v>1</v>
      </c>
      <c r="C7" s="1">
        <v>0</v>
      </c>
      <c r="D7" s="1">
        <v>1</v>
      </c>
      <c r="E7" s="1"/>
      <c r="F7" s="1"/>
      <c r="G7" s="1"/>
      <c r="I7" t="s">
        <v>64</v>
      </c>
      <c r="J7" t="s">
        <v>65</v>
      </c>
      <c r="L7" s="6" t="s">
        <v>60</v>
      </c>
      <c r="M7" s="1" t="s">
        <v>62</v>
      </c>
      <c r="N7" s="1"/>
      <c r="O7" s="1">
        <f>P2-P3</f>
        <v>-5.6999674358374317E-2</v>
      </c>
    </row>
    <row r="8" spans="1:16" x14ac:dyDescent="0.3">
      <c r="A8" s="1" t="s">
        <v>32</v>
      </c>
      <c r="B8" s="1">
        <v>1</v>
      </c>
      <c r="C8" s="1">
        <v>0</v>
      </c>
      <c r="D8" s="1">
        <v>1</v>
      </c>
      <c r="E8" s="1"/>
      <c r="F8" s="1"/>
      <c r="G8" s="1"/>
      <c r="I8" s="6" t="s">
        <v>54</v>
      </c>
      <c r="J8" s="1">
        <f>D103</f>
        <v>28</v>
      </c>
      <c r="L8" s="6" t="s">
        <v>61</v>
      </c>
      <c r="M8" s="1" t="s">
        <v>63</v>
      </c>
      <c r="N8" s="1"/>
      <c r="O8" s="1">
        <f>(-P2)+(P3/2)</f>
        <v>2.8499837179187158E-2</v>
      </c>
    </row>
    <row r="9" spans="1:16" x14ac:dyDescent="0.3">
      <c r="A9" s="1" t="s">
        <v>38</v>
      </c>
      <c r="B9" s="1">
        <v>1</v>
      </c>
      <c r="C9" s="1">
        <v>-2</v>
      </c>
      <c r="D9" s="1"/>
      <c r="E9" s="1"/>
      <c r="F9" s="1"/>
      <c r="G9" s="1">
        <v>1</v>
      </c>
      <c r="I9" s="6" t="s">
        <v>48</v>
      </c>
      <c r="J9" s="1">
        <f>E103</f>
        <v>28</v>
      </c>
    </row>
    <row r="10" spans="1:16" x14ac:dyDescent="0.3">
      <c r="A10" s="1" t="s">
        <v>38</v>
      </c>
      <c r="B10" s="1">
        <v>0</v>
      </c>
      <c r="C10" s="1">
        <v>0</v>
      </c>
      <c r="D10" s="1"/>
      <c r="E10" s="1">
        <v>1</v>
      </c>
      <c r="F10" s="1"/>
      <c r="G10" s="1"/>
      <c r="I10" s="6" t="s">
        <v>55</v>
      </c>
      <c r="J10" s="1">
        <f>F103</f>
        <v>23</v>
      </c>
    </row>
    <row r="11" spans="1:16" x14ac:dyDescent="0.3">
      <c r="A11" s="1" t="s">
        <v>38</v>
      </c>
      <c r="B11" s="1">
        <v>1</v>
      </c>
      <c r="C11" s="1">
        <v>-4</v>
      </c>
      <c r="D11" s="1"/>
      <c r="E11" s="1"/>
      <c r="F11" s="1"/>
      <c r="G11" s="1">
        <v>1</v>
      </c>
      <c r="I11" s="6" t="s">
        <v>56</v>
      </c>
      <c r="J11" s="1">
        <f>G103</f>
        <v>21</v>
      </c>
    </row>
    <row r="12" spans="1:16" x14ac:dyDescent="0.3">
      <c r="A12" s="1" t="s">
        <v>38</v>
      </c>
      <c r="B12" s="1">
        <v>0</v>
      </c>
      <c r="C12" s="1">
        <v>0</v>
      </c>
      <c r="D12" s="1"/>
      <c r="E12" s="1">
        <v>1</v>
      </c>
      <c r="F12" s="1"/>
      <c r="G12" s="1"/>
      <c r="I12" s="7"/>
    </row>
    <row r="13" spans="1:16" x14ac:dyDescent="0.3">
      <c r="A13" s="1" t="s">
        <v>38</v>
      </c>
      <c r="B13" s="1">
        <v>1</v>
      </c>
      <c r="C13" s="1">
        <v>-3</v>
      </c>
      <c r="D13" s="1"/>
      <c r="E13" s="1"/>
      <c r="F13" s="1"/>
      <c r="G13" s="1">
        <v>1</v>
      </c>
      <c r="I13" s="7"/>
    </row>
    <row r="14" spans="1:16" x14ac:dyDescent="0.3">
      <c r="A14" s="1" t="s">
        <v>38</v>
      </c>
      <c r="B14" s="1">
        <v>0</v>
      </c>
      <c r="C14" s="1">
        <v>0</v>
      </c>
      <c r="D14" s="1"/>
      <c r="E14" s="1">
        <v>1</v>
      </c>
      <c r="F14" s="1"/>
      <c r="G14" s="1"/>
      <c r="I14" s="6" t="s">
        <v>57</v>
      </c>
      <c r="J14" s="1">
        <f>J8+J9</f>
        <v>56</v>
      </c>
    </row>
    <row r="15" spans="1:16" x14ac:dyDescent="0.3">
      <c r="A15" s="1" t="s">
        <v>32</v>
      </c>
      <c r="B15" s="1">
        <v>1</v>
      </c>
      <c r="C15" s="1">
        <v>0</v>
      </c>
      <c r="D15" s="1">
        <v>1</v>
      </c>
      <c r="E15" s="1"/>
      <c r="F15" s="1"/>
      <c r="G15" s="1"/>
      <c r="I15" s="6" t="s">
        <v>58</v>
      </c>
      <c r="J15" s="1">
        <f>J10+J11</f>
        <v>44</v>
      </c>
    </row>
    <row r="16" spans="1:16" x14ac:dyDescent="0.3">
      <c r="A16" s="1" t="s">
        <v>32</v>
      </c>
      <c r="B16" s="1">
        <v>0</v>
      </c>
      <c r="C16" s="1">
        <v>-5</v>
      </c>
      <c r="D16" s="1"/>
      <c r="E16" s="1"/>
      <c r="F16" s="1">
        <v>1</v>
      </c>
      <c r="G16" s="1"/>
    </row>
    <row r="17" spans="1:7" x14ac:dyDescent="0.3">
      <c r="A17" s="1" t="s">
        <v>32</v>
      </c>
      <c r="B17" s="1">
        <v>1</v>
      </c>
      <c r="C17" s="1">
        <v>0</v>
      </c>
      <c r="D17" s="1">
        <v>1</v>
      </c>
      <c r="E17" s="1"/>
      <c r="F17" s="1"/>
      <c r="G17" s="1"/>
    </row>
    <row r="18" spans="1:7" x14ac:dyDescent="0.3">
      <c r="A18" s="1" t="s">
        <v>32</v>
      </c>
      <c r="B18" s="1">
        <v>0</v>
      </c>
      <c r="C18" s="1">
        <v>-2</v>
      </c>
      <c r="D18" s="1"/>
      <c r="E18" s="1"/>
      <c r="F18" s="1"/>
      <c r="G18" s="1">
        <v>1</v>
      </c>
    </row>
    <row r="19" spans="1:7" x14ac:dyDescent="0.3">
      <c r="A19" s="1" t="s">
        <v>32</v>
      </c>
      <c r="B19" s="1">
        <v>1</v>
      </c>
      <c r="C19" s="1">
        <v>0</v>
      </c>
      <c r="D19" s="1">
        <v>1</v>
      </c>
      <c r="E19" s="1"/>
      <c r="F19" s="1"/>
      <c r="G19" s="1"/>
    </row>
    <row r="20" spans="1:7" x14ac:dyDescent="0.3">
      <c r="A20" s="1" t="s">
        <v>32</v>
      </c>
      <c r="B20" s="1">
        <v>1</v>
      </c>
      <c r="C20" s="1">
        <v>0</v>
      </c>
      <c r="D20" s="1">
        <v>1</v>
      </c>
      <c r="E20" s="1"/>
      <c r="F20" s="1"/>
      <c r="G20" s="1"/>
    </row>
    <row r="21" spans="1:7" x14ac:dyDescent="0.3">
      <c r="A21" s="1" t="s">
        <v>38</v>
      </c>
      <c r="B21" s="1">
        <v>1</v>
      </c>
      <c r="C21" s="1">
        <v>-4</v>
      </c>
      <c r="D21" s="1"/>
      <c r="E21" s="1"/>
      <c r="F21" s="1"/>
      <c r="G21" s="1">
        <v>1</v>
      </c>
    </row>
    <row r="22" spans="1:7" x14ac:dyDescent="0.3">
      <c r="A22" s="1" t="s">
        <v>38</v>
      </c>
      <c r="B22" s="1">
        <v>0</v>
      </c>
      <c r="C22" s="1">
        <v>0</v>
      </c>
      <c r="D22" s="1"/>
      <c r="E22" s="1">
        <v>1</v>
      </c>
      <c r="F22" s="1"/>
      <c r="G22" s="1"/>
    </row>
    <row r="23" spans="1:7" x14ac:dyDescent="0.3">
      <c r="A23" s="1" t="s">
        <v>32</v>
      </c>
      <c r="B23" s="1">
        <v>0</v>
      </c>
      <c r="C23" s="1">
        <v>3</v>
      </c>
      <c r="D23" s="1"/>
      <c r="E23" s="1"/>
      <c r="F23" s="1">
        <v>1</v>
      </c>
      <c r="G23" s="1"/>
    </row>
    <row r="24" spans="1:7" x14ac:dyDescent="0.3">
      <c r="A24" s="1" t="s">
        <v>38</v>
      </c>
      <c r="B24" s="1">
        <v>0</v>
      </c>
      <c r="C24" s="1">
        <v>0</v>
      </c>
      <c r="D24" s="1"/>
      <c r="E24" s="1">
        <v>1</v>
      </c>
      <c r="F24" s="1"/>
      <c r="G24" s="1"/>
    </row>
    <row r="25" spans="1:7" x14ac:dyDescent="0.3">
      <c r="A25" s="1" t="s">
        <v>38</v>
      </c>
      <c r="B25" s="1">
        <v>1</v>
      </c>
      <c r="C25" s="1">
        <v>-2</v>
      </c>
      <c r="D25" s="1"/>
      <c r="E25" s="1"/>
      <c r="F25" s="1"/>
      <c r="G25" s="1">
        <v>1</v>
      </c>
    </row>
    <row r="26" spans="1:7" x14ac:dyDescent="0.3">
      <c r="A26" s="1" t="s">
        <v>32</v>
      </c>
      <c r="B26" s="1">
        <v>1</v>
      </c>
      <c r="C26" s="1">
        <v>0</v>
      </c>
      <c r="D26" s="1">
        <v>1</v>
      </c>
      <c r="E26" s="1"/>
      <c r="F26" s="1"/>
      <c r="G26" s="1"/>
    </row>
    <row r="27" spans="1:7" x14ac:dyDescent="0.3">
      <c r="A27" s="1" t="s">
        <v>32</v>
      </c>
      <c r="B27" s="1">
        <v>0</v>
      </c>
      <c r="C27" s="1">
        <v>-3</v>
      </c>
      <c r="D27" s="1"/>
      <c r="E27" s="1"/>
      <c r="F27" s="1">
        <v>1</v>
      </c>
      <c r="G27" s="1"/>
    </row>
    <row r="28" spans="1:7" x14ac:dyDescent="0.3">
      <c r="A28" s="1" t="s">
        <v>32</v>
      </c>
      <c r="B28" s="1">
        <v>1</v>
      </c>
      <c r="C28" s="1">
        <v>0</v>
      </c>
      <c r="D28" s="1">
        <v>1</v>
      </c>
      <c r="E28" s="1"/>
      <c r="F28" s="1"/>
      <c r="G28" s="1"/>
    </row>
    <row r="29" spans="1:7" x14ac:dyDescent="0.3">
      <c r="A29" s="1" t="s">
        <v>32</v>
      </c>
      <c r="B29" s="1">
        <v>0</v>
      </c>
      <c r="C29" s="1">
        <v>2</v>
      </c>
      <c r="D29" s="1"/>
      <c r="E29" s="1"/>
      <c r="F29" s="1">
        <v>1</v>
      </c>
      <c r="G29" s="1"/>
    </row>
    <row r="30" spans="1:7" x14ac:dyDescent="0.3">
      <c r="A30" s="1" t="s">
        <v>38</v>
      </c>
      <c r="B30" s="1">
        <v>0</v>
      </c>
      <c r="C30" s="1">
        <v>0</v>
      </c>
      <c r="D30" s="1"/>
      <c r="E30" s="1">
        <v>1</v>
      </c>
      <c r="F30" s="1"/>
      <c r="G30" s="1"/>
    </row>
    <row r="31" spans="1:7" x14ac:dyDescent="0.3">
      <c r="A31" s="1" t="s">
        <v>38</v>
      </c>
      <c r="B31" s="1">
        <v>0</v>
      </c>
      <c r="C31" s="1">
        <v>0</v>
      </c>
      <c r="D31" s="1"/>
      <c r="E31" s="1">
        <v>1</v>
      </c>
      <c r="F31" s="1"/>
      <c r="G31" s="1"/>
    </row>
    <row r="32" spans="1:7" x14ac:dyDescent="0.3">
      <c r="A32" s="1" t="s">
        <v>38</v>
      </c>
      <c r="B32" s="1">
        <v>0</v>
      </c>
      <c r="C32" s="1">
        <v>0</v>
      </c>
      <c r="D32" s="1"/>
      <c r="E32" s="1">
        <v>1</v>
      </c>
      <c r="F32" s="1"/>
      <c r="G32" s="1"/>
    </row>
    <row r="33" spans="1:7" x14ac:dyDescent="0.3">
      <c r="A33" s="1" t="s">
        <v>38</v>
      </c>
      <c r="B33" s="1">
        <v>1</v>
      </c>
      <c r="C33" s="1">
        <v>-2</v>
      </c>
      <c r="D33" s="1"/>
      <c r="E33" s="1"/>
      <c r="F33" s="1"/>
      <c r="G33" s="1">
        <v>1</v>
      </c>
    </row>
    <row r="34" spans="1:7" x14ac:dyDescent="0.3">
      <c r="A34" s="1" t="s">
        <v>38</v>
      </c>
      <c r="B34" s="1">
        <v>0</v>
      </c>
      <c r="C34" s="1">
        <v>0</v>
      </c>
      <c r="D34" s="1"/>
      <c r="E34" s="1">
        <v>1</v>
      </c>
      <c r="F34" s="1"/>
      <c r="G34" s="1"/>
    </row>
    <row r="35" spans="1:7" x14ac:dyDescent="0.3">
      <c r="A35" s="1" t="s">
        <v>38</v>
      </c>
      <c r="B35" s="1">
        <v>0</v>
      </c>
      <c r="C35" s="1">
        <v>0</v>
      </c>
      <c r="D35" s="1"/>
      <c r="E35" s="1">
        <v>1</v>
      </c>
      <c r="F35" s="1"/>
      <c r="G35" s="1"/>
    </row>
    <row r="36" spans="1:7" x14ac:dyDescent="0.3">
      <c r="A36" s="1" t="s">
        <v>38</v>
      </c>
      <c r="B36" s="1">
        <v>0</v>
      </c>
      <c r="C36" s="1">
        <v>0</v>
      </c>
      <c r="D36" s="1"/>
      <c r="E36" s="1">
        <v>1</v>
      </c>
      <c r="F36" s="1"/>
      <c r="G36" s="1"/>
    </row>
    <row r="37" spans="1:7" x14ac:dyDescent="0.3">
      <c r="A37" s="1" t="s">
        <v>38</v>
      </c>
      <c r="B37" s="1">
        <v>0</v>
      </c>
      <c r="C37" s="1">
        <v>0</v>
      </c>
      <c r="D37" s="1"/>
      <c r="E37" s="1">
        <v>1</v>
      </c>
      <c r="F37" s="1"/>
      <c r="G37" s="1"/>
    </row>
    <row r="38" spans="1:7" x14ac:dyDescent="0.3">
      <c r="A38" s="1" t="s">
        <v>38</v>
      </c>
      <c r="B38" s="1">
        <v>0</v>
      </c>
      <c r="C38" s="1">
        <v>0</v>
      </c>
      <c r="D38" s="1"/>
      <c r="E38" s="1">
        <v>1</v>
      </c>
      <c r="F38" s="1"/>
      <c r="G38" s="1"/>
    </row>
    <row r="39" spans="1:7" x14ac:dyDescent="0.3">
      <c r="A39" s="1" t="s">
        <v>38</v>
      </c>
      <c r="B39" s="1">
        <v>1</v>
      </c>
      <c r="C39" s="1">
        <v>-3</v>
      </c>
      <c r="D39" s="1"/>
      <c r="E39" s="1"/>
      <c r="F39" s="1"/>
      <c r="G39" s="1">
        <v>1</v>
      </c>
    </row>
    <row r="40" spans="1:7" x14ac:dyDescent="0.3">
      <c r="A40" s="1" t="s">
        <v>38</v>
      </c>
      <c r="B40" s="1">
        <v>1</v>
      </c>
      <c r="C40" s="1">
        <v>-2</v>
      </c>
      <c r="D40" s="1"/>
      <c r="E40" s="1"/>
      <c r="F40" s="1"/>
      <c r="G40" s="1">
        <v>1</v>
      </c>
    </row>
    <row r="41" spans="1:7" x14ac:dyDescent="0.3">
      <c r="A41" s="1" t="s">
        <v>38</v>
      </c>
      <c r="B41" s="1">
        <v>0</v>
      </c>
      <c r="C41" s="1">
        <v>0</v>
      </c>
      <c r="D41" s="1"/>
      <c r="E41" s="1">
        <v>1</v>
      </c>
      <c r="F41" s="1"/>
      <c r="G41" s="1"/>
    </row>
    <row r="42" spans="1:7" x14ac:dyDescent="0.3">
      <c r="A42" s="1" t="s">
        <v>38</v>
      </c>
      <c r="B42" s="1">
        <v>1</v>
      </c>
      <c r="C42" s="1">
        <v>2</v>
      </c>
      <c r="D42" s="1"/>
      <c r="E42" s="1"/>
      <c r="F42" s="1"/>
      <c r="G42" s="1">
        <v>1</v>
      </c>
    </row>
    <row r="43" spans="1:7" x14ac:dyDescent="0.3">
      <c r="A43" s="1" t="s">
        <v>38</v>
      </c>
      <c r="B43" s="1">
        <v>1</v>
      </c>
      <c r="C43" s="1">
        <v>2</v>
      </c>
      <c r="D43" s="1"/>
      <c r="E43" s="1"/>
      <c r="F43" s="1"/>
      <c r="G43" s="1">
        <v>1</v>
      </c>
    </row>
    <row r="44" spans="1:7" x14ac:dyDescent="0.3">
      <c r="A44" s="1" t="s">
        <v>38</v>
      </c>
      <c r="B44" s="1">
        <v>0</v>
      </c>
      <c r="C44" s="1">
        <v>0</v>
      </c>
      <c r="D44" s="1"/>
      <c r="E44" s="1">
        <v>1</v>
      </c>
      <c r="F44" s="1"/>
      <c r="G44" s="1"/>
    </row>
    <row r="45" spans="1:7" x14ac:dyDescent="0.3">
      <c r="A45" s="1" t="s">
        <v>32</v>
      </c>
      <c r="B45" s="1">
        <v>0</v>
      </c>
      <c r="C45" s="1">
        <v>2</v>
      </c>
      <c r="D45" s="1"/>
      <c r="E45" s="1"/>
      <c r="F45" s="1">
        <v>1</v>
      </c>
      <c r="G45" s="1"/>
    </row>
    <row r="46" spans="1:7" x14ac:dyDescent="0.3">
      <c r="A46" s="1" t="s">
        <v>32</v>
      </c>
      <c r="B46" s="1">
        <v>1</v>
      </c>
      <c r="C46" s="1">
        <v>0</v>
      </c>
      <c r="D46" s="1">
        <v>1</v>
      </c>
      <c r="E46" s="1"/>
      <c r="F46" s="1"/>
      <c r="G46" s="1"/>
    </row>
    <row r="47" spans="1:7" x14ac:dyDescent="0.3">
      <c r="A47" s="1" t="s">
        <v>32</v>
      </c>
      <c r="B47" s="1">
        <v>1</v>
      </c>
      <c r="C47" s="1">
        <v>0</v>
      </c>
      <c r="D47" s="1">
        <v>1</v>
      </c>
      <c r="E47" s="1"/>
      <c r="F47" s="1"/>
      <c r="G47" s="1"/>
    </row>
    <row r="48" spans="1:7" x14ac:dyDescent="0.3">
      <c r="A48" s="1" t="s">
        <v>32</v>
      </c>
      <c r="B48" s="1">
        <v>0</v>
      </c>
      <c r="C48" s="1">
        <v>-3</v>
      </c>
      <c r="D48" s="1"/>
      <c r="E48" s="1"/>
      <c r="F48" s="1">
        <v>1</v>
      </c>
      <c r="G48" s="1"/>
    </row>
    <row r="49" spans="1:7" x14ac:dyDescent="0.3">
      <c r="A49" s="1" t="s">
        <v>32</v>
      </c>
      <c r="B49" s="1">
        <v>0</v>
      </c>
      <c r="C49" s="1">
        <v>-2</v>
      </c>
      <c r="D49" s="1"/>
      <c r="E49" s="1"/>
      <c r="F49" s="1">
        <v>1</v>
      </c>
      <c r="G49" s="1"/>
    </row>
    <row r="50" spans="1:7" x14ac:dyDescent="0.3">
      <c r="A50" s="1" t="s">
        <v>32</v>
      </c>
      <c r="B50" s="1">
        <v>1</v>
      </c>
      <c r="C50" s="1">
        <v>0</v>
      </c>
      <c r="D50" s="1">
        <v>1</v>
      </c>
      <c r="E50" s="1"/>
      <c r="F50" s="1"/>
      <c r="G50" s="1"/>
    </row>
    <row r="51" spans="1:7" x14ac:dyDescent="0.3">
      <c r="A51" s="1" t="s">
        <v>32</v>
      </c>
      <c r="B51" s="1">
        <v>0</v>
      </c>
      <c r="C51" s="1">
        <v>-3</v>
      </c>
      <c r="D51" s="1"/>
      <c r="E51" s="1"/>
      <c r="F51" s="1">
        <v>1</v>
      </c>
      <c r="G51" s="1"/>
    </row>
    <row r="52" spans="1:7" x14ac:dyDescent="0.3">
      <c r="A52" s="1" t="s">
        <v>32</v>
      </c>
      <c r="B52" s="1">
        <v>0</v>
      </c>
      <c r="C52" s="1">
        <v>-2</v>
      </c>
      <c r="D52" s="1"/>
      <c r="E52" s="1"/>
      <c r="F52" s="1">
        <v>1</v>
      </c>
      <c r="G52" s="1"/>
    </row>
    <row r="53" spans="1:7" x14ac:dyDescent="0.3">
      <c r="A53" s="1" t="s">
        <v>32</v>
      </c>
      <c r="B53" s="1">
        <v>1</v>
      </c>
      <c r="C53" s="1">
        <v>0</v>
      </c>
      <c r="D53" s="1">
        <v>1</v>
      </c>
      <c r="E53" s="1"/>
      <c r="F53" s="1"/>
      <c r="G53" s="1"/>
    </row>
    <row r="54" spans="1:7" x14ac:dyDescent="0.3">
      <c r="A54" s="1" t="s">
        <v>32</v>
      </c>
      <c r="B54" s="1">
        <v>0</v>
      </c>
      <c r="C54" s="1">
        <v>1</v>
      </c>
      <c r="D54" s="1"/>
      <c r="E54" s="1"/>
      <c r="F54" s="1">
        <v>1</v>
      </c>
      <c r="G54" s="1"/>
    </row>
    <row r="55" spans="1:7" x14ac:dyDescent="0.3">
      <c r="A55" s="1" t="s">
        <v>32</v>
      </c>
      <c r="B55" s="1">
        <v>1</v>
      </c>
      <c r="C55" s="1">
        <v>0</v>
      </c>
      <c r="D55" s="1">
        <v>1</v>
      </c>
      <c r="E55" s="1"/>
      <c r="F55" s="1"/>
      <c r="G55" s="1"/>
    </row>
    <row r="56" spans="1:7" x14ac:dyDescent="0.3">
      <c r="A56" s="1" t="s">
        <v>38</v>
      </c>
      <c r="B56" s="1">
        <v>0</v>
      </c>
      <c r="C56" s="1">
        <v>0</v>
      </c>
      <c r="D56" s="1"/>
      <c r="E56" s="1">
        <v>1</v>
      </c>
      <c r="F56" s="1"/>
      <c r="G56" s="1"/>
    </row>
    <row r="57" spans="1:7" x14ac:dyDescent="0.3">
      <c r="A57" s="1" t="s">
        <v>32</v>
      </c>
      <c r="B57" s="1">
        <v>1</v>
      </c>
      <c r="C57" s="1">
        <v>0</v>
      </c>
      <c r="D57" s="1">
        <v>1</v>
      </c>
      <c r="E57" s="1"/>
      <c r="F57" s="1"/>
      <c r="G57" s="1"/>
    </row>
    <row r="58" spans="1:7" x14ac:dyDescent="0.3">
      <c r="A58" s="1" t="s">
        <v>38</v>
      </c>
      <c r="B58" s="1">
        <v>0</v>
      </c>
      <c r="C58" s="1">
        <v>0</v>
      </c>
      <c r="D58" s="1"/>
      <c r="E58" s="1">
        <v>1</v>
      </c>
      <c r="F58" s="1"/>
      <c r="G58" s="1"/>
    </row>
    <row r="59" spans="1:7" x14ac:dyDescent="0.3">
      <c r="A59" s="1" t="s">
        <v>38</v>
      </c>
      <c r="B59" s="1">
        <v>0</v>
      </c>
      <c r="C59" s="1">
        <v>0</v>
      </c>
      <c r="D59" s="1"/>
      <c r="E59" s="1">
        <v>1</v>
      </c>
      <c r="F59" s="1"/>
      <c r="G59" s="1"/>
    </row>
    <row r="60" spans="1:7" x14ac:dyDescent="0.3">
      <c r="A60" s="1" t="s">
        <v>32</v>
      </c>
      <c r="B60" s="1">
        <v>0</v>
      </c>
      <c r="C60" s="1">
        <v>1</v>
      </c>
      <c r="D60" s="1"/>
      <c r="E60" s="1"/>
      <c r="F60" s="1">
        <v>1</v>
      </c>
      <c r="G60" s="1"/>
    </row>
    <row r="61" spans="1:7" x14ac:dyDescent="0.3">
      <c r="A61" s="1" t="s">
        <v>32</v>
      </c>
      <c r="B61" s="1">
        <v>0</v>
      </c>
      <c r="C61" s="1">
        <v>-5</v>
      </c>
      <c r="D61" s="1"/>
      <c r="E61" s="1"/>
      <c r="F61" s="1">
        <v>1</v>
      </c>
      <c r="G61" s="1"/>
    </row>
    <row r="62" spans="1:7" x14ac:dyDescent="0.3">
      <c r="A62" s="1" t="s">
        <v>32</v>
      </c>
      <c r="B62" s="1">
        <v>0</v>
      </c>
      <c r="C62" s="1">
        <v>3</v>
      </c>
      <c r="D62" s="1"/>
      <c r="E62" s="1"/>
      <c r="F62" s="1">
        <v>1</v>
      </c>
      <c r="G62" s="1"/>
    </row>
    <row r="63" spans="1:7" x14ac:dyDescent="0.3">
      <c r="A63" s="1" t="s">
        <v>32</v>
      </c>
      <c r="B63" s="1">
        <v>1</v>
      </c>
      <c r="C63" s="1">
        <v>0</v>
      </c>
      <c r="D63" s="1">
        <v>1</v>
      </c>
      <c r="E63" s="1"/>
      <c r="F63" s="1"/>
      <c r="G63" s="1"/>
    </row>
    <row r="64" spans="1:7" x14ac:dyDescent="0.3">
      <c r="A64" s="1" t="s">
        <v>32</v>
      </c>
      <c r="B64" s="1">
        <v>1</v>
      </c>
      <c r="C64" s="1">
        <v>0</v>
      </c>
      <c r="D64" s="1">
        <v>1</v>
      </c>
      <c r="E64" s="1"/>
      <c r="F64" s="1"/>
      <c r="G64" s="1"/>
    </row>
    <row r="65" spans="1:7" x14ac:dyDescent="0.3">
      <c r="A65" s="1" t="s">
        <v>32</v>
      </c>
      <c r="B65" s="1">
        <v>0</v>
      </c>
      <c r="C65" s="1">
        <v>2</v>
      </c>
      <c r="D65" s="1"/>
      <c r="E65" s="1"/>
      <c r="F65" s="1">
        <v>1</v>
      </c>
      <c r="G65" s="1"/>
    </row>
    <row r="66" spans="1:7" x14ac:dyDescent="0.3">
      <c r="A66" s="1" t="s">
        <v>32</v>
      </c>
      <c r="B66" s="1">
        <v>1</v>
      </c>
      <c r="C66" s="1">
        <v>0</v>
      </c>
      <c r="D66" s="1">
        <v>1</v>
      </c>
      <c r="E66" s="1"/>
      <c r="F66" s="1"/>
      <c r="G66" s="1"/>
    </row>
    <row r="67" spans="1:7" x14ac:dyDescent="0.3">
      <c r="A67" s="1" t="s">
        <v>32</v>
      </c>
      <c r="B67" s="1">
        <v>1</v>
      </c>
      <c r="C67" s="1">
        <v>0</v>
      </c>
      <c r="D67" s="1">
        <v>1</v>
      </c>
      <c r="E67" s="1"/>
      <c r="F67" s="1"/>
      <c r="G67" s="1"/>
    </row>
    <row r="68" spans="1:7" x14ac:dyDescent="0.3">
      <c r="A68" s="1" t="s">
        <v>38</v>
      </c>
      <c r="B68" s="1">
        <v>0</v>
      </c>
      <c r="C68" s="1">
        <v>0</v>
      </c>
      <c r="D68" s="1"/>
      <c r="E68" s="1">
        <v>1</v>
      </c>
      <c r="F68" s="1"/>
      <c r="G68" s="1"/>
    </row>
    <row r="69" spans="1:7" x14ac:dyDescent="0.3">
      <c r="A69" s="1" t="s">
        <v>38</v>
      </c>
      <c r="B69" s="1">
        <v>1</v>
      </c>
      <c r="C69" s="1">
        <v>-5</v>
      </c>
      <c r="D69" s="1"/>
      <c r="E69" s="1"/>
      <c r="F69" s="1"/>
      <c r="G69" s="1">
        <v>1</v>
      </c>
    </row>
    <row r="70" spans="1:7" x14ac:dyDescent="0.3">
      <c r="A70" s="1" t="s">
        <v>38</v>
      </c>
      <c r="B70" s="1">
        <v>0</v>
      </c>
      <c r="C70" s="1">
        <v>0</v>
      </c>
      <c r="D70" s="1"/>
      <c r="E70" s="1">
        <v>1</v>
      </c>
      <c r="F70" s="1"/>
      <c r="G70" s="1"/>
    </row>
    <row r="71" spans="1:7" x14ac:dyDescent="0.3">
      <c r="A71" s="1" t="s">
        <v>38</v>
      </c>
      <c r="B71" s="1">
        <v>0</v>
      </c>
      <c r="C71" s="1">
        <v>0</v>
      </c>
      <c r="D71" s="1"/>
      <c r="E71" s="1">
        <v>1</v>
      </c>
      <c r="F71" s="1"/>
      <c r="G71" s="1"/>
    </row>
    <row r="72" spans="1:7" x14ac:dyDescent="0.3">
      <c r="A72" s="1" t="s">
        <v>38</v>
      </c>
      <c r="B72" s="1">
        <v>0</v>
      </c>
      <c r="C72" s="1">
        <v>0</v>
      </c>
      <c r="D72" s="1"/>
      <c r="E72" s="1">
        <v>1</v>
      </c>
      <c r="F72" s="1"/>
      <c r="G72" s="1"/>
    </row>
    <row r="73" spans="1:7" x14ac:dyDescent="0.3">
      <c r="A73" s="1" t="s">
        <v>38</v>
      </c>
      <c r="B73" s="1">
        <v>1</v>
      </c>
      <c r="C73" s="1">
        <v>2</v>
      </c>
      <c r="D73" s="1"/>
      <c r="E73" s="1"/>
      <c r="F73" s="1"/>
      <c r="G73" s="1">
        <v>1</v>
      </c>
    </row>
    <row r="74" spans="1:7" x14ac:dyDescent="0.3">
      <c r="A74" s="1" t="s">
        <v>38</v>
      </c>
      <c r="B74" s="1">
        <v>0</v>
      </c>
      <c r="C74" s="1">
        <v>0</v>
      </c>
      <c r="D74" s="1"/>
      <c r="E74" s="1">
        <v>1</v>
      </c>
      <c r="F74" s="1"/>
      <c r="G74" s="1"/>
    </row>
    <row r="75" spans="1:7" x14ac:dyDescent="0.3">
      <c r="A75" s="1" t="s">
        <v>38</v>
      </c>
      <c r="B75" s="1">
        <v>1</v>
      </c>
      <c r="C75" s="1">
        <v>-2</v>
      </c>
      <c r="D75" s="1"/>
      <c r="E75" s="1"/>
      <c r="F75" s="1"/>
      <c r="G75" s="1">
        <v>1</v>
      </c>
    </row>
    <row r="76" spans="1:7" x14ac:dyDescent="0.3">
      <c r="A76" s="1" t="s">
        <v>38</v>
      </c>
      <c r="B76" s="1">
        <v>1</v>
      </c>
      <c r="C76" s="1">
        <v>4</v>
      </c>
      <c r="D76" s="1"/>
      <c r="E76" s="1"/>
      <c r="F76" s="1"/>
      <c r="G76" s="1">
        <v>1</v>
      </c>
    </row>
    <row r="77" spans="1:7" x14ac:dyDescent="0.3">
      <c r="A77" s="1" t="s">
        <v>32</v>
      </c>
      <c r="B77" s="1">
        <v>0</v>
      </c>
      <c r="C77" s="1">
        <v>4</v>
      </c>
      <c r="D77" s="1"/>
      <c r="E77" s="1"/>
      <c r="F77" s="1">
        <v>1</v>
      </c>
      <c r="G77" s="1"/>
    </row>
    <row r="78" spans="1:7" x14ac:dyDescent="0.3">
      <c r="A78" s="1" t="s">
        <v>32</v>
      </c>
      <c r="B78" s="1">
        <v>1</v>
      </c>
      <c r="C78" s="1">
        <v>0</v>
      </c>
      <c r="D78" s="1">
        <v>1</v>
      </c>
      <c r="E78" s="1"/>
      <c r="F78" s="1"/>
      <c r="G78" s="1"/>
    </row>
    <row r="79" spans="1:7" x14ac:dyDescent="0.3">
      <c r="A79" s="1" t="s">
        <v>32</v>
      </c>
      <c r="B79" s="1">
        <v>0</v>
      </c>
      <c r="C79" s="1">
        <v>-3</v>
      </c>
      <c r="D79" s="1"/>
      <c r="E79" s="1"/>
      <c r="F79" s="1">
        <v>1</v>
      </c>
      <c r="G79" s="1"/>
    </row>
    <row r="80" spans="1:7" x14ac:dyDescent="0.3">
      <c r="A80" s="1" t="s">
        <v>38</v>
      </c>
      <c r="B80" s="1">
        <v>0</v>
      </c>
      <c r="C80" s="1">
        <v>0</v>
      </c>
      <c r="D80" s="1"/>
      <c r="E80" s="1">
        <v>1</v>
      </c>
      <c r="F80" s="1"/>
      <c r="G80" s="1"/>
    </row>
    <row r="81" spans="1:7" x14ac:dyDescent="0.3">
      <c r="A81" s="1" t="s">
        <v>38</v>
      </c>
      <c r="B81" s="1">
        <v>1</v>
      </c>
      <c r="C81" s="1">
        <v>4</v>
      </c>
      <c r="D81" s="1"/>
      <c r="E81" s="1"/>
      <c r="F81" s="1"/>
      <c r="G81" s="1">
        <v>1</v>
      </c>
    </row>
    <row r="82" spans="1:7" x14ac:dyDescent="0.3">
      <c r="A82" s="1" t="s">
        <v>32</v>
      </c>
      <c r="B82" s="1">
        <v>0</v>
      </c>
      <c r="C82" s="1">
        <v>-3</v>
      </c>
      <c r="D82" s="1"/>
      <c r="E82" s="1"/>
      <c r="F82" s="1">
        <v>1</v>
      </c>
      <c r="G82" s="1"/>
    </row>
    <row r="83" spans="1:7" x14ac:dyDescent="0.3">
      <c r="A83" s="1" t="s">
        <v>38</v>
      </c>
      <c r="B83" s="1">
        <v>0</v>
      </c>
      <c r="C83" s="1">
        <v>0</v>
      </c>
      <c r="D83" s="1"/>
      <c r="E83" s="1">
        <v>1</v>
      </c>
      <c r="F83" s="1"/>
      <c r="G83" s="1"/>
    </row>
    <row r="84" spans="1:7" x14ac:dyDescent="0.3">
      <c r="A84" s="1" t="s">
        <v>32</v>
      </c>
      <c r="B84" s="1">
        <v>1</v>
      </c>
      <c r="C84" s="1">
        <v>0</v>
      </c>
      <c r="D84" s="1">
        <v>1</v>
      </c>
      <c r="E84" s="1"/>
      <c r="F84" s="1"/>
      <c r="G84" s="1"/>
    </row>
    <row r="85" spans="1:7" x14ac:dyDescent="0.3">
      <c r="A85" s="1" t="s">
        <v>38</v>
      </c>
      <c r="B85" s="1">
        <v>0</v>
      </c>
      <c r="C85" s="1">
        <v>0</v>
      </c>
      <c r="D85" s="1"/>
      <c r="E85" s="1">
        <v>1</v>
      </c>
      <c r="F85" s="1"/>
      <c r="G85" s="1"/>
    </row>
    <row r="86" spans="1:7" x14ac:dyDescent="0.3">
      <c r="A86" s="1" t="s">
        <v>38</v>
      </c>
      <c r="B86" s="1">
        <v>1</v>
      </c>
      <c r="C86" s="1">
        <v>1</v>
      </c>
      <c r="D86" s="1"/>
      <c r="E86" s="1"/>
      <c r="F86" s="1"/>
      <c r="G86" s="1">
        <v>1</v>
      </c>
    </row>
    <row r="87" spans="1:7" x14ac:dyDescent="0.3">
      <c r="A87" s="1" t="s">
        <v>32</v>
      </c>
      <c r="B87" s="1">
        <v>1</v>
      </c>
      <c r="C87" s="1">
        <v>0</v>
      </c>
      <c r="D87" s="1">
        <v>1</v>
      </c>
      <c r="E87" s="1"/>
      <c r="F87" s="1"/>
      <c r="G87" s="1"/>
    </row>
    <row r="88" spans="1:7" x14ac:dyDescent="0.3">
      <c r="A88" s="1" t="s">
        <v>38</v>
      </c>
      <c r="B88" s="1">
        <v>1</v>
      </c>
      <c r="C88" s="1">
        <v>2</v>
      </c>
      <c r="D88" s="1"/>
      <c r="E88" s="1"/>
      <c r="F88" s="1"/>
      <c r="G88" s="1">
        <v>1</v>
      </c>
    </row>
    <row r="89" spans="1:7" x14ac:dyDescent="0.3">
      <c r="A89" s="1" t="s">
        <v>38</v>
      </c>
      <c r="B89" s="1">
        <v>0</v>
      </c>
      <c r="C89" s="1">
        <v>0</v>
      </c>
      <c r="D89" s="1"/>
      <c r="E89" s="1">
        <v>1</v>
      </c>
      <c r="F89" s="1"/>
      <c r="G89" s="1"/>
    </row>
    <row r="90" spans="1:7" x14ac:dyDescent="0.3">
      <c r="A90" s="1" t="s">
        <v>32</v>
      </c>
      <c r="B90" s="1">
        <v>0</v>
      </c>
      <c r="C90" s="1">
        <v>-4</v>
      </c>
      <c r="D90" s="1"/>
      <c r="E90" s="1"/>
      <c r="F90" s="1">
        <v>1</v>
      </c>
      <c r="G90" s="1"/>
    </row>
    <row r="91" spans="1:7" x14ac:dyDescent="0.3">
      <c r="A91" s="1" t="s">
        <v>32</v>
      </c>
      <c r="B91" s="1">
        <v>1</v>
      </c>
      <c r="C91" s="1">
        <v>0</v>
      </c>
      <c r="D91" s="1">
        <v>1</v>
      </c>
      <c r="E91" s="1"/>
      <c r="F91" s="1"/>
      <c r="G91" s="1"/>
    </row>
    <row r="92" spans="1:7" x14ac:dyDescent="0.3">
      <c r="A92" s="1" t="s">
        <v>32</v>
      </c>
      <c r="B92" s="1">
        <v>1</v>
      </c>
      <c r="C92" s="1">
        <v>0</v>
      </c>
      <c r="D92" s="1">
        <v>1</v>
      </c>
      <c r="E92" s="1"/>
      <c r="F92" s="1"/>
      <c r="G92" s="1"/>
    </row>
    <row r="93" spans="1:7" x14ac:dyDescent="0.3">
      <c r="A93" s="1" t="s">
        <v>32</v>
      </c>
      <c r="B93" s="1">
        <v>1</v>
      </c>
      <c r="C93" s="1">
        <v>0</v>
      </c>
      <c r="D93" s="1">
        <v>1</v>
      </c>
      <c r="E93" s="1"/>
      <c r="F93" s="1"/>
      <c r="G93" s="1"/>
    </row>
    <row r="94" spans="1:7" x14ac:dyDescent="0.3">
      <c r="A94" s="1" t="s">
        <v>32</v>
      </c>
      <c r="B94" s="1">
        <v>1</v>
      </c>
      <c r="C94" s="1">
        <v>0</v>
      </c>
      <c r="D94" s="1">
        <v>1</v>
      </c>
      <c r="E94" s="1"/>
      <c r="F94" s="1"/>
      <c r="G94" s="1"/>
    </row>
    <row r="95" spans="1:7" x14ac:dyDescent="0.3">
      <c r="A95" s="1" t="s">
        <v>32</v>
      </c>
      <c r="B95" s="1">
        <v>0</v>
      </c>
      <c r="C95" s="1">
        <v>4</v>
      </c>
      <c r="D95" s="1"/>
      <c r="E95" s="1"/>
      <c r="F95" s="1">
        <v>1</v>
      </c>
      <c r="G95" s="1"/>
    </row>
    <row r="96" spans="1:7" x14ac:dyDescent="0.3">
      <c r="A96" s="1" t="s">
        <v>32</v>
      </c>
      <c r="B96" s="1">
        <v>0</v>
      </c>
      <c r="C96" s="1">
        <v>-2</v>
      </c>
      <c r="D96" s="1"/>
      <c r="E96" s="1"/>
      <c r="F96" s="1">
        <v>1</v>
      </c>
      <c r="G96" s="1"/>
    </row>
    <row r="97" spans="1:7" x14ac:dyDescent="0.3">
      <c r="A97" s="1" t="s">
        <v>32</v>
      </c>
      <c r="B97" s="1">
        <v>1</v>
      </c>
      <c r="C97" s="1">
        <v>0</v>
      </c>
      <c r="D97" s="1">
        <v>1</v>
      </c>
      <c r="E97" s="1"/>
      <c r="F97" s="1"/>
      <c r="G97" s="1"/>
    </row>
    <row r="98" spans="1:7" x14ac:dyDescent="0.3">
      <c r="A98" s="1" t="s">
        <v>32</v>
      </c>
      <c r="B98" s="1">
        <v>0</v>
      </c>
      <c r="C98" s="1">
        <v>-4</v>
      </c>
      <c r="D98" s="1"/>
      <c r="E98" s="1"/>
      <c r="F98" s="1">
        <v>1</v>
      </c>
      <c r="G98" s="1"/>
    </row>
    <row r="99" spans="1:7" x14ac:dyDescent="0.3">
      <c r="A99" s="1" t="s">
        <v>38</v>
      </c>
      <c r="B99" s="1">
        <v>0</v>
      </c>
      <c r="C99" s="1">
        <v>0</v>
      </c>
      <c r="D99" s="1"/>
      <c r="E99" s="1">
        <v>1</v>
      </c>
      <c r="F99" s="1"/>
      <c r="G99" s="1"/>
    </row>
    <row r="100" spans="1:7" x14ac:dyDescent="0.3">
      <c r="A100" s="1" t="s">
        <v>38</v>
      </c>
      <c r="B100" s="1">
        <v>1</v>
      </c>
      <c r="C100" s="1">
        <v>4</v>
      </c>
      <c r="D100" s="1"/>
      <c r="E100" s="1"/>
      <c r="F100" s="1"/>
      <c r="G100" s="1">
        <v>1</v>
      </c>
    </row>
    <row r="101" spans="1:7" x14ac:dyDescent="0.3">
      <c r="A101" s="1" t="s">
        <v>38</v>
      </c>
      <c r="B101" s="1">
        <v>1</v>
      </c>
      <c r="C101" s="1">
        <v>1</v>
      </c>
      <c r="D101" s="1"/>
      <c r="E101" s="1"/>
      <c r="F101" s="1"/>
      <c r="G101" s="1">
        <v>1</v>
      </c>
    </row>
    <row r="102" spans="1:7" ht="15" thickBot="1" x14ac:dyDescent="0.35"/>
    <row r="103" spans="1:7" ht="15" thickBot="1" x14ac:dyDescent="0.35">
      <c r="D103" s="2">
        <f>SUM(D2:D101)</f>
        <v>28</v>
      </c>
      <c r="E103" s="3">
        <f t="shared" ref="E103:G103" si="0">SUM(E2:E101)</f>
        <v>28</v>
      </c>
      <c r="F103" s="3">
        <f t="shared" si="0"/>
        <v>23</v>
      </c>
      <c r="G103" s="4">
        <f t="shared" si="0"/>
        <v>21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659478_untitled_2025-09-11_11h5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2025-09-11T06:27:16Z</dcterms:created>
  <dcterms:modified xsi:type="dcterms:W3CDTF">2025-09-11T14:38:40Z</dcterms:modified>
</cp:coreProperties>
</file>