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AU\pratical psy\Adaptive Staircase\"/>
    </mc:Choice>
  </mc:AlternateContent>
  <bookViews>
    <workbookView xWindow="0" yWindow="0" windowWidth="22668" windowHeight="9048" activeTab="1"/>
  </bookViews>
  <sheets>
    <sheet name="514307_adaptive_staircase_2025-" sheetId="1" r:id="rId1"/>
    <sheet name="Sheet1" sheetId="2" r:id="rId2"/>
    <sheet name="Sheet4" sheetId="5" r:id="rId3"/>
  </sheets>
  <definedNames>
    <definedName name="_xlnm._FilterDatabase" localSheetId="2" hidden="1">Sheet4!$A$1:$A$101</definedName>
  </definedNames>
  <calcPr calcId="0"/>
</workbook>
</file>

<file path=xl/calcChain.xml><?xml version="1.0" encoding="utf-8"?>
<calcChain xmlns="http://schemas.openxmlformats.org/spreadsheetml/2006/main">
  <c r="C5" i="5" l="1"/>
  <c r="C3" i="5"/>
  <c r="E6" i="2"/>
  <c r="E5" i="2"/>
  <c r="E3" i="2"/>
  <c r="E2" i="2"/>
  <c r="E9" i="2" s="1"/>
</calcChain>
</file>

<file path=xl/sharedStrings.xml><?xml version="1.0" encoding="utf-8"?>
<sst xmlns="http://schemas.openxmlformats.org/spreadsheetml/2006/main" count="531" uniqueCount="33">
  <si>
    <t>stair.thisTrialN</t>
  </si>
  <si>
    <t>stair.stepSize</t>
  </si>
  <si>
    <t>stair.intensity</t>
  </si>
  <si>
    <t>thisRow.t</t>
  </si>
  <si>
    <t>notes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</si>
  <si>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</si>
  <si>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</si>
  <si>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</si>
  <si>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</si>
  <si>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</si>
  <si>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</si>
  <si>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</si>
  <si>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</si>
  <si>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</si>
  <si>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</si>
  <si>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stair.response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</si>
  <si>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</si>
  <si>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</si>
  <si>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</si>
  <si>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</si>
  <si>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</si>
  <si>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</si>
  <si>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</si>
  <si>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</si>
  <si>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</si>
  <si>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left</t>
  </si>
  <si>
    <t>2025-09-04_10h24.36.434</t>
  </si>
  <si>
    <t>adaptive_staircase</t>
  </si>
  <si>
    <t>2025.1.1</t>
  </si>
  <si>
    <t>2025-09-04 10h24.37.917184 +0530</t>
  </si>
  <si>
    <t>right</t>
  </si>
  <si>
    <t>threshold</t>
  </si>
  <si>
    <t>correct - resp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</si>
</sst>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Tilt</a:t>
            </a:r>
            <a:r>
              <a:rPr lang="en-US" sz="14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of Grating across Trials </a:t>
            </a:r>
            <a:endPara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tilt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Sheet1!$B$2:$B$101</c:f>
              <c:numCache>
                <c:formatCode>General</c:formatCode>
                <c:ptCount val="100"/>
                <c:pt idx="0">
                  <c:v>-10</c:v>
                </c:pt>
                <c:pt idx="1">
                  <c:v>12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9</c:v>
                </c:pt>
                <c:pt idx="9">
                  <c:v>-9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-9.5</c:v>
                </c:pt>
                <c:pt idx="14">
                  <c:v>-10</c:v>
                </c:pt>
                <c:pt idx="15">
                  <c:v>10.5</c:v>
                </c:pt>
                <c:pt idx="16">
                  <c:v>10.5</c:v>
                </c:pt>
                <c:pt idx="17">
                  <c:v>10.5</c:v>
                </c:pt>
                <c:pt idx="18">
                  <c:v>-11</c:v>
                </c:pt>
                <c:pt idx="19">
                  <c:v>-11</c:v>
                </c:pt>
                <c:pt idx="20">
                  <c:v>11</c:v>
                </c:pt>
                <c:pt idx="21">
                  <c:v>11.5</c:v>
                </c:pt>
                <c:pt idx="22">
                  <c:v>-12</c:v>
                </c:pt>
                <c:pt idx="23">
                  <c:v>12.5</c:v>
                </c:pt>
                <c:pt idx="24">
                  <c:v>-12.5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-12.5</c:v>
                </c:pt>
                <c:pt idx="29">
                  <c:v>12.5</c:v>
                </c:pt>
                <c:pt idx="30">
                  <c:v>13</c:v>
                </c:pt>
                <c:pt idx="31">
                  <c:v>-13.5</c:v>
                </c:pt>
                <c:pt idx="32">
                  <c:v>13.5</c:v>
                </c:pt>
                <c:pt idx="33">
                  <c:v>14</c:v>
                </c:pt>
                <c:pt idx="34">
                  <c:v>-14.5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-14.5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-14.5</c:v>
                </c:pt>
                <c:pt idx="43">
                  <c:v>-15</c:v>
                </c:pt>
                <c:pt idx="44">
                  <c:v>-15.5</c:v>
                </c:pt>
                <c:pt idx="45">
                  <c:v>-16</c:v>
                </c:pt>
                <c:pt idx="46">
                  <c:v>-16.5</c:v>
                </c:pt>
                <c:pt idx="47">
                  <c:v>-16.5</c:v>
                </c:pt>
                <c:pt idx="48">
                  <c:v>16.5</c:v>
                </c:pt>
                <c:pt idx="49">
                  <c:v>-17</c:v>
                </c:pt>
                <c:pt idx="50">
                  <c:v>17.5</c:v>
                </c:pt>
                <c:pt idx="51">
                  <c:v>17.5</c:v>
                </c:pt>
                <c:pt idx="52">
                  <c:v>17.5</c:v>
                </c:pt>
                <c:pt idx="53">
                  <c:v>-18</c:v>
                </c:pt>
                <c:pt idx="54">
                  <c:v>-18.5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19.5</c:v>
                </c:pt>
                <c:pt idx="59">
                  <c:v>-20</c:v>
                </c:pt>
                <c:pt idx="60">
                  <c:v>20</c:v>
                </c:pt>
                <c:pt idx="61">
                  <c:v>-20</c:v>
                </c:pt>
                <c:pt idx="62">
                  <c:v>-20</c:v>
                </c:pt>
                <c:pt idx="63">
                  <c:v>20</c:v>
                </c:pt>
                <c:pt idx="64">
                  <c:v>20</c:v>
                </c:pt>
                <c:pt idx="65">
                  <c:v>-20</c:v>
                </c:pt>
                <c:pt idx="66">
                  <c:v>20</c:v>
                </c:pt>
                <c:pt idx="67">
                  <c:v>20</c:v>
                </c:pt>
                <c:pt idx="68">
                  <c:v>-20</c:v>
                </c:pt>
                <c:pt idx="69">
                  <c:v>-20</c:v>
                </c:pt>
                <c:pt idx="70">
                  <c:v>20</c:v>
                </c:pt>
                <c:pt idx="71">
                  <c:v>-20</c:v>
                </c:pt>
                <c:pt idx="72">
                  <c:v>-20</c:v>
                </c:pt>
                <c:pt idx="73">
                  <c:v>20</c:v>
                </c:pt>
                <c:pt idx="74">
                  <c:v>-20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19.5</c:v>
                </c:pt>
                <c:pt idx="79">
                  <c:v>-19.5</c:v>
                </c:pt>
                <c:pt idx="80">
                  <c:v>-20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-20</c:v>
                </c:pt>
                <c:pt idx="85">
                  <c:v>20</c:v>
                </c:pt>
                <c:pt idx="86">
                  <c:v>-20</c:v>
                </c:pt>
                <c:pt idx="87">
                  <c:v>20</c:v>
                </c:pt>
                <c:pt idx="88">
                  <c:v>20</c:v>
                </c:pt>
                <c:pt idx="89">
                  <c:v>-20</c:v>
                </c:pt>
                <c:pt idx="90">
                  <c:v>20</c:v>
                </c:pt>
                <c:pt idx="91">
                  <c:v>-20</c:v>
                </c:pt>
                <c:pt idx="92">
                  <c:v>-20</c:v>
                </c:pt>
                <c:pt idx="93">
                  <c:v>20</c:v>
                </c:pt>
                <c:pt idx="94">
                  <c:v>20</c:v>
                </c:pt>
                <c:pt idx="95">
                  <c:v>-20</c:v>
                </c:pt>
                <c:pt idx="96">
                  <c:v>20</c:v>
                </c:pt>
                <c:pt idx="97">
                  <c:v>-20</c:v>
                </c:pt>
                <c:pt idx="98">
                  <c:v>-20</c:v>
                </c:pt>
                <c:pt idx="99">
                  <c:v>-20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A8-47CE-9638-B862A8A76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504896"/>
        <c:axId val="2130512384"/>
      </c:lineChart>
      <c:catAx>
        <c:axId val="213050489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Trials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130512384"/>
        <c:crosses val="autoZero"/>
        <c:auto val="1"/>
        <c:lblAlgn val="ctr"/>
        <c:lblOffset val="100"/>
        <c:noMultiLvlLbl val="0"/>
      </c:catAx>
      <c:valAx>
        <c:axId val="213051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Tilt</a:t>
                </a:r>
              </a:p>
              <a:p>
                <a:pPr>
                  <a:defRPr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 Left tilt, + right tilt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3050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Respons Accuracy Over Trails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key_resp.corr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Sheet1!$C$2:$C$102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44-4E90-A0DA-60E364613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1701936"/>
        <c:axId val="1971696112"/>
      </c:lineChart>
      <c:catAx>
        <c:axId val="1971701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Trial</a:t>
                </a:r>
                <a:r>
                  <a:rPr lang="en-US" sz="12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endParaRPr lang="en-US" sz="12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696112"/>
        <c:crosses val="autoZero"/>
        <c:auto val="1"/>
        <c:lblAlgn val="ctr"/>
        <c:lblOffset val="100"/>
        <c:noMultiLvlLbl val="0"/>
      </c:catAx>
      <c:valAx>
        <c:axId val="197169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Response Accuracy </a:t>
                </a:r>
              </a:p>
              <a:p>
                <a:pPr>
                  <a:defRPr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Correct = 1 , Incorrect = 0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70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578222</xdr:colOff>
      <xdr:row>3</xdr:row>
      <xdr:rowOff>165848</xdr:rowOff>
    </xdr:from>
    <xdr:to>
      <xdr:col>17</xdr:col>
      <xdr:colOff>367551</xdr:colOff>
      <xdr:row>19</xdr:row>
      <xdr:rowOff>40342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89646</xdr:colOff>
      <xdr:row>19</xdr:row>
      <xdr:rowOff>165848</xdr:rowOff>
    </xdr:from>
    <xdr:to>
      <xdr:col>11</xdr:col>
      <xdr:colOff>394446</xdr:colOff>
      <xdr:row>35</xdr:row>
      <xdr:rowOff>40342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"/>
  <sheetViews>
    <sheetView topLeftCell="A94" workbookViewId="0">
      <selection activeCell="A122" sqref="A122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0</v>
      </c>
      <c r="B2">
        <v>2</v>
      </c>
      <c r="C2">
        <v>10</v>
      </c>
      <c r="D2">
        <v>3.6560399981681202E-2</v>
      </c>
      <c r="F2">
        <v>1.9903799984604099E-2</v>
      </c>
      <c r="G2">
        <v>3.6560399981681202E-2</v>
      </c>
      <c r="H2">
        <v>0.522261100006289</v>
      </c>
      <c r="I2">
        <v>0.522261100006289</v>
      </c>
      <c r="J2">
        <v>0.53550919995177504</v>
      </c>
      <c r="K2">
        <v>0.83694409998133701</v>
      </c>
      <c r="L2">
        <v>0.91978269995888695</v>
      </c>
      <c r="M2" t="s">
        <v>25</v>
      </c>
      <c r="N2">
        <v>-10</v>
      </c>
      <c r="O2">
        <v>0</v>
      </c>
      <c r="P2">
        <v>0</v>
      </c>
      <c r="Q2">
        <v>0.38925830001244299</v>
      </c>
      <c r="R2">
        <v>514307</v>
      </c>
      <c r="S2">
        <v>1</v>
      </c>
      <c r="T2" t="s">
        <v>26</v>
      </c>
      <c r="U2" t="s">
        <v>27</v>
      </c>
      <c r="W2" t="s">
        <v>28</v>
      </c>
      <c r="X2">
        <v>59.725561029341698</v>
      </c>
      <c r="Y2" t="s">
        <v>29</v>
      </c>
    </row>
    <row r="3" spans="1:25" x14ac:dyDescent="0.3">
      <c r="A3">
        <v>1</v>
      </c>
      <c r="B3">
        <v>1</v>
      </c>
      <c r="C3">
        <v>12</v>
      </c>
      <c r="D3">
        <v>0.93812539998907596</v>
      </c>
      <c r="F3">
        <v>0.91996869997819797</v>
      </c>
      <c r="G3">
        <v>0.93812539998907596</v>
      </c>
      <c r="H3">
        <v>1.4201312999939499</v>
      </c>
      <c r="I3">
        <v>1.4201312999939499</v>
      </c>
      <c r="J3">
        <v>1.4533724999637301</v>
      </c>
      <c r="K3">
        <v>1.7207874999730799</v>
      </c>
      <c r="L3">
        <v>1.75515369995264</v>
      </c>
      <c r="M3" t="s">
        <v>30</v>
      </c>
      <c r="N3">
        <v>12</v>
      </c>
      <c r="O3">
        <v>1</v>
      </c>
      <c r="P3">
        <v>1</v>
      </c>
      <c r="Q3">
        <v>0.32557400001678599</v>
      </c>
      <c r="R3">
        <v>514307</v>
      </c>
      <c r="S3">
        <v>1</v>
      </c>
      <c r="T3" t="s">
        <v>26</v>
      </c>
      <c r="U3" t="s">
        <v>27</v>
      </c>
      <c r="W3" t="s">
        <v>28</v>
      </c>
      <c r="X3">
        <v>59.725561029341698</v>
      </c>
      <c r="Y3" t="s">
        <v>29</v>
      </c>
    </row>
    <row r="4" spans="1:25" x14ac:dyDescent="0.3">
      <c r="A4">
        <v>2</v>
      </c>
      <c r="B4">
        <v>1</v>
      </c>
      <c r="C4">
        <v>11</v>
      </c>
      <c r="D4">
        <v>1.77057910000439</v>
      </c>
      <c r="F4">
        <v>1.7555069999652899</v>
      </c>
      <c r="G4">
        <v>1.77057910000439</v>
      </c>
      <c r="H4">
        <v>2.2705526999779901</v>
      </c>
      <c r="I4">
        <v>2.2705526999779901</v>
      </c>
      <c r="J4">
        <v>2.2705526999779901</v>
      </c>
      <c r="K4">
        <v>2.5701833000057301</v>
      </c>
      <c r="L4">
        <v>2.6042792999651199</v>
      </c>
      <c r="M4" t="s">
        <v>30</v>
      </c>
      <c r="N4">
        <v>11</v>
      </c>
      <c r="O4">
        <v>1</v>
      </c>
      <c r="P4">
        <v>1</v>
      </c>
      <c r="Q4">
        <v>0.33101979998173098</v>
      </c>
      <c r="R4">
        <v>514307</v>
      </c>
      <c r="S4">
        <v>1</v>
      </c>
      <c r="T4" t="s">
        <v>26</v>
      </c>
      <c r="U4" t="s">
        <v>27</v>
      </c>
      <c r="W4" t="s">
        <v>28</v>
      </c>
      <c r="X4">
        <v>59.725561029341698</v>
      </c>
      <c r="Y4" t="s">
        <v>29</v>
      </c>
    </row>
    <row r="5" spans="1:25" x14ac:dyDescent="0.3">
      <c r="A5">
        <v>3</v>
      </c>
      <c r="B5">
        <v>1</v>
      </c>
      <c r="C5">
        <v>11</v>
      </c>
      <c r="D5">
        <v>2.6202625999576399</v>
      </c>
      <c r="F5">
        <v>2.6044237999594699</v>
      </c>
      <c r="G5">
        <v>2.6202625999576399</v>
      </c>
      <c r="H5">
        <v>3.1043839000048998</v>
      </c>
      <c r="I5">
        <v>3.1043839000048998</v>
      </c>
      <c r="J5">
        <v>3.1201265999698</v>
      </c>
      <c r="K5">
        <v>3.4193625999614499</v>
      </c>
      <c r="L5">
        <v>7.0039480999694197</v>
      </c>
      <c r="M5" t="s">
        <v>30</v>
      </c>
      <c r="N5">
        <v>11</v>
      </c>
      <c r="O5">
        <v>1</v>
      </c>
      <c r="P5">
        <v>1</v>
      </c>
      <c r="Q5">
        <v>3.89861989999189</v>
      </c>
      <c r="R5">
        <v>514307</v>
      </c>
      <c r="S5">
        <v>1</v>
      </c>
      <c r="T5" t="s">
        <v>26</v>
      </c>
      <c r="U5" t="s">
        <v>27</v>
      </c>
      <c r="W5" t="s">
        <v>28</v>
      </c>
      <c r="X5">
        <v>59.725561029341698</v>
      </c>
      <c r="Y5" t="s">
        <v>29</v>
      </c>
    </row>
    <row r="6" spans="1:25" x14ac:dyDescent="0.3">
      <c r="A6">
        <v>4</v>
      </c>
      <c r="B6">
        <v>1</v>
      </c>
      <c r="C6">
        <v>11</v>
      </c>
      <c r="D6">
        <v>7.0206566999549898</v>
      </c>
      <c r="F6">
        <v>7.0041325999773099</v>
      </c>
      <c r="G6">
        <v>7.0206566999549898</v>
      </c>
      <c r="H6">
        <v>7.50335089996224</v>
      </c>
      <c r="I6">
        <v>7.50335089996224</v>
      </c>
      <c r="J6">
        <v>7.5201428000000297</v>
      </c>
      <c r="K6">
        <v>7.8034247999894397</v>
      </c>
      <c r="L6">
        <v>7.9202906999853404</v>
      </c>
      <c r="M6" t="s">
        <v>30</v>
      </c>
      <c r="N6">
        <v>11</v>
      </c>
      <c r="O6">
        <v>1</v>
      </c>
      <c r="P6">
        <v>1</v>
      </c>
      <c r="Q6">
        <v>0.41327070002444</v>
      </c>
      <c r="R6">
        <v>514307</v>
      </c>
      <c r="S6">
        <v>1</v>
      </c>
      <c r="T6" t="s">
        <v>26</v>
      </c>
      <c r="U6" t="s">
        <v>27</v>
      </c>
      <c r="W6" t="s">
        <v>28</v>
      </c>
      <c r="X6">
        <v>59.725561029341698</v>
      </c>
      <c r="Y6" t="s">
        <v>29</v>
      </c>
    </row>
    <row r="7" spans="1:25" x14ac:dyDescent="0.3">
      <c r="A7">
        <v>5</v>
      </c>
      <c r="B7">
        <v>1</v>
      </c>
      <c r="C7">
        <v>10</v>
      </c>
      <c r="D7">
        <v>7.9373791999532797</v>
      </c>
      <c r="F7">
        <v>7.9205006999545704</v>
      </c>
      <c r="G7">
        <v>7.9373791999532797</v>
      </c>
      <c r="H7">
        <v>8.4200271999579801</v>
      </c>
      <c r="I7">
        <v>8.4200271999579801</v>
      </c>
      <c r="J7">
        <v>8.4369427000056003</v>
      </c>
      <c r="K7">
        <v>8.7203092999989096</v>
      </c>
      <c r="L7">
        <v>8.7712129999999799</v>
      </c>
      <c r="M7" t="s">
        <v>30</v>
      </c>
      <c r="N7">
        <v>10</v>
      </c>
      <c r="O7">
        <v>1</v>
      </c>
      <c r="P7">
        <v>1</v>
      </c>
      <c r="Q7">
        <v>0.34944279998307998</v>
      </c>
      <c r="R7">
        <v>514307</v>
      </c>
      <c r="S7">
        <v>1</v>
      </c>
      <c r="T7" t="s">
        <v>26</v>
      </c>
      <c r="U7" t="s">
        <v>27</v>
      </c>
      <c r="W7" t="s">
        <v>28</v>
      </c>
      <c r="X7">
        <v>59.725561029341698</v>
      </c>
      <c r="Y7" t="s">
        <v>29</v>
      </c>
    </row>
    <row r="8" spans="1:25" x14ac:dyDescent="0.3">
      <c r="A8">
        <v>6</v>
      </c>
      <c r="B8">
        <v>1</v>
      </c>
      <c r="C8">
        <v>10</v>
      </c>
      <c r="D8">
        <v>8.7869973999913693</v>
      </c>
      <c r="F8">
        <v>8.7713861999800393</v>
      </c>
      <c r="G8">
        <v>8.7869973999913693</v>
      </c>
      <c r="H8">
        <v>9.2707449999870697</v>
      </c>
      <c r="I8">
        <v>9.2707449999870697</v>
      </c>
      <c r="J8">
        <v>9.2868381000007503</v>
      </c>
      <c r="K8">
        <v>9.5715586000005697</v>
      </c>
      <c r="L8">
        <v>9.5718641999992506</v>
      </c>
      <c r="M8" t="s">
        <v>30</v>
      </c>
      <c r="N8">
        <v>10</v>
      </c>
      <c r="O8">
        <v>1</v>
      </c>
      <c r="P8">
        <v>1</v>
      </c>
      <c r="Q8">
        <v>0.300403300032485</v>
      </c>
      <c r="R8">
        <v>514307</v>
      </c>
      <c r="S8">
        <v>1</v>
      </c>
      <c r="T8" t="s">
        <v>26</v>
      </c>
      <c r="U8" t="s">
        <v>27</v>
      </c>
      <c r="W8" t="s">
        <v>28</v>
      </c>
      <c r="X8">
        <v>59.725561029341698</v>
      </c>
      <c r="Y8" t="s">
        <v>29</v>
      </c>
    </row>
    <row r="9" spans="1:25" x14ac:dyDescent="0.3">
      <c r="A9">
        <v>7</v>
      </c>
      <c r="B9">
        <v>1</v>
      </c>
      <c r="C9">
        <v>10</v>
      </c>
      <c r="D9">
        <v>9.5869910999899695</v>
      </c>
      <c r="F9">
        <v>9.5719801999512093</v>
      </c>
      <c r="G9">
        <v>9.5869910999899695</v>
      </c>
      <c r="H9">
        <v>10.0883889999822</v>
      </c>
      <c r="I9">
        <v>10.0883889999822</v>
      </c>
      <c r="J9">
        <v>10.0883889999822</v>
      </c>
      <c r="K9">
        <v>10.4040726999519</v>
      </c>
      <c r="L9">
        <v>14.3704968999954</v>
      </c>
      <c r="M9" t="s">
        <v>30</v>
      </c>
      <c r="N9">
        <v>10</v>
      </c>
      <c r="O9">
        <v>1</v>
      </c>
      <c r="P9">
        <v>1</v>
      </c>
      <c r="Q9">
        <v>4.2697743000462598</v>
      </c>
      <c r="R9">
        <v>514307</v>
      </c>
      <c r="S9">
        <v>1</v>
      </c>
      <c r="T9" t="s">
        <v>26</v>
      </c>
      <c r="U9" t="s">
        <v>27</v>
      </c>
      <c r="W9" t="s">
        <v>28</v>
      </c>
      <c r="X9">
        <v>59.725561029341698</v>
      </c>
      <c r="Y9" t="s">
        <v>29</v>
      </c>
    </row>
    <row r="10" spans="1:25" x14ac:dyDescent="0.3">
      <c r="A10">
        <v>8</v>
      </c>
      <c r="B10">
        <v>1</v>
      </c>
      <c r="C10">
        <v>9</v>
      </c>
      <c r="D10">
        <v>14.3873788999626</v>
      </c>
      <c r="F10">
        <v>14.3707046000054</v>
      </c>
      <c r="G10">
        <v>14.3873788999626</v>
      </c>
      <c r="H10">
        <v>14.8698027999489</v>
      </c>
      <c r="I10">
        <v>14.8698027999489</v>
      </c>
      <c r="J10">
        <v>14.8866505000041</v>
      </c>
      <c r="L10">
        <v>15.1035105999908</v>
      </c>
      <c r="M10" t="s">
        <v>30</v>
      </c>
      <c r="N10">
        <v>9</v>
      </c>
      <c r="O10" s="1">
        <v>1</v>
      </c>
      <c r="P10">
        <v>1</v>
      </c>
      <c r="Q10">
        <v>0.22940040001412801</v>
      </c>
      <c r="R10">
        <v>514307</v>
      </c>
      <c r="S10">
        <v>1</v>
      </c>
      <c r="T10" t="s">
        <v>26</v>
      </c>
      <c r="U10" t="s">
        <v>27</v>
      </c>
      <c r="W10" t="s">
        <v>28</v>
      </c>
      <c r="X10">
        <v>59.725561029341698</v>
      </c>
      <c r="Y10" t="s">
        <v>29</v>
      </c>
    </row>
    <row r="11" spans="1:25" x14ac:dyDescent="0.3">
      <c r="A11">
        <v>9</v>
      </c>
      <c r="B11">
        <v>1</v>
      </c>
      <c r="C11">
        <v>9</v>
      </c>
      <c r="D11">
        <v>15.1198128999676</v>
      </c>
      <c r="F11">
        <v>15.1036302999709</v>
      </c>
      <c r="G11">
        <v>15.1198128999676</v>
      </c>
      <c r="H11">
        <v>15.603284899960199</v>
      </c>
      <c r="I11">
        <v>15.603284899960199</v>
      </c>
      <c r="J11">
        <v>15.619759299966899</v>
      </c>
      <c r="K11">
        <v>15.903557399986299</v>
      </c>
      <c r="L11">
        <v>17.120699299965001</v>
      </c>
      <c r="M11" t="s">
        <v>25</v>
      </c>
      <c r="N11">
        <v>-9</v>
      </c>
      <c r="O11" s="1">
        <v>0</v>
      </c>
      <c r="P11">
        <v>0</v>
      </c>
      <c r="Q11">
        <v>1.50195609999354</v>
      </c>
      <c r="R11">
        <v>514307</v>
      </c>
      <c r="S11">
        <v>1</v>
      </c>
      <c r="T11" t="s">
        <v>26</v>
      </c>
      <c r="U11" t="s">
        <v>27</v>
      </c>
      <c r="W11" t="s">
        <v>28</v>
      </c>
      <c r="X11">
        <v>59.725561029341698</v>
      </c>
      <c r="Y11" t="s">
        <v>29</v>
      </c>
    </row>
    <row r="12" spans="1:25" x14ac:dyDescent="0.3">
      <c r="A12">
        <v>10</v>
      </c>
      <c r="B12">
        <v>1</v>
      </c>
      <c r="C12">
        <v>10</v>
      </c>
      <c r="D12">
        <v>17.136493199970499</v>
      </c>
      <c r="F12">
        <v>17.120868499972801</v>
      </c>
      <c r="G12">
        <v>17.136493199970499</v>
      </c>
      <c r="H12">
        <v>17.620921499968901</v>
      </c>
      <c r="I12">
        <v>17.620921499968901</v>
      </c>
      <c r="J12">
        <v>17.637123699998401</v>
      </c>
      <c r="K12">
        <v>17.9366799999843</v>
      </c>
      <c r="L12">
        <v>18.3879973999573</v>
      </c>
      <c r="M12" t="s">
        <v>30</v>
      </c>
      <c r="N12">
        <v>10</v>
      </c>
      <c r="O12">
        <v>1</v>
      </c>
      <c r="P12">
        <v>1</v>
      </c>
      <c r="Q12">
        <v>0.76157650002278299</v>
      </c>
      <c r="R12">
        <v>514307</v>
      </c>
      <c r="S12">
        <v>1</v>
      </c>
      <c r="T12" t="s">
        <v>26</v>
      </c>
      <c r="U12" t="s">
        <v>27</v>
      </c>
      <c r="W12" t="s">
        <v>28</v>
      </c>
      <c r="X12">
        <v>59.725561029341698</v>
      </c>
      <c r="Y12" t="s">
        <v>29</v>
      </c>
    </row>
    <row r="13" spans="1:25" x14ac:dyDescent="0.3">
      <c r="A13">
        <v>11</v>
      </c>
      <c r="B13">
        <v>1</v>
      </c>
      <c r="C13">
        <v>10</v>
      </c>
      <c r="D13">
        <v>18.4036640999838</v>
      </c>
      <c r="F13">
        <v>18.388161999988299</v>
      </c>
      <c r="G13">
        <v>18.4036640999838</v>
      </c>
      <c r="H13">
        <v>18.9036110999877</v>
      </c>
      <c r="I13">
        <v>18.9036110999877</v>
      </c>
      <c r="J13">
        <v>18.9036110999877</v>
      </c>
      <c r="K13">
        <v>19.2035402999608</v>
      </c>
      <c r="L13">
        <v>19.471533100004301</v>
      </c>
      <c r="M13" t="s">
        <v>30</v>
      </c>
      <c r="N13">
        <v>10</v>
      </c>
      <c r="O13">
        <v>1</v>
      </c>
      <c r="P13">
        <v>1</v>
      </c>
      <c r="Q13">
        <v>0.56113929999992196</v>
      </c>
      <c r="R13">
        <v>514307</v>
      </c>
      <c r="S13">
        <v>1</v>
      </c>
      <c r="T13" t="s">
        <v>26</v>
      </c>
      <c r="U13" t="s">
        <v>27</v>
      </c>
      <c r="W13" t="s">
        <v>28</v>
      </c>
      <c r="X13">
        <v>59.725561029341698</v>
      </c>
      <c r="Y13" t="s">
        <v>29</v>
      </c>
    </row>
    <row r="14" spans="1:25" x14ac:dyDescent="0.3">
      <c r="A14">
        <v>12</v>
      </c>
      <c r="B14">
        <v>0.5</v>
      </c>
      <c r="C14">
        <v>10</v>
      </c>
      <c r="D14">
        <v>19.486446199996799</v>
      </c>
      <c r="F14">
        <v>19.4719173999619</v>
      </c>
      <c r="G14">
        <v>19.486446199996799</v>
      </c>
      <c r="H14">
        <v>19.986753000004601</v>
      </c>
      <c r="I14">
        <v>19.986753000004601</v>
      </c>
      <c r="J14">
        <v>19.986753000004601</v>
      </c>
      <c r="K14">
        <v>20.288424299971599</v>
      </c>
      <c r="L14">
        <v>20.554167399997802</v>
      </c>
      <c r="M14" t="s">
        <v>30</v>
      </c>
      <c r="N14">
        <v>10</v>
      </c>
      <c r="O14" s="1">
        <v>1</v>
      </c>
      <c r="P14">
        <v>1</v>
      </c>
      <c r="Q14">
        <v>0.55348279996542205</v>
      </c>
      <c r="R14">
        <v>514307</v>
      </c>
      <c r="S14">
        <v>1</v>
      </c>
      <c r="T14" t="s">
        <v>26</v>
      </c>
      <c r="U14" t="s">
        <v>27</v>
      </c>
      <c r="W14" t="s">
        <v>28</v>
      </c>
      <c r="X14">
        <v>59.725561029341698</v>
      </c>
      <c r="Y14" t="s">
        <v>29</v>
      </c>
    </row>
    <row r="15" spans="1:25" x14ac:dyDescent="0.3">
      <c r="A15">
        <v>13</v>
      </c>
      <c r="B15">
        <v>0.5</v>
      </c>
      <c r="C15">
        <v>9.5</v>
      </c>
      <c r="D15">
        <v>20.570265099988301</v>
      </c>
      <c r="F15">
        <v>20.554354199965001</v>
      </c>
      <c r="G15">
        <v>20.570265099988301</v>
      </c>
      <c r="H15">
        <v>21.070805599971202</v>
      </c>
      <c r="I15">
        <v>21.070805599971202</v>
      </c>
      <c r="J15">
        <v>21.070805599971202</v>
      </c>
      <c r="K15">
        <v>21.369650399952601</v>
      </c>
      <c r="L15">
        <v>25.920912600005899</v>
      </c>
      <c r="M15" t="s">
        <v>25</v>
      </c>
      <c r="N15">
        <v>-9.5</v>
      </c>
      <c r="O15" s="1">
        <v>0</v>
      </c>
      <c r="P15">
        <v>0</v>
      </c>
      <c r="Q15">
        <v>4.8431485999608404</v>
      </c>
      <c r="R15">
        <v>514307</v>
      </c>
      <c r="S15">
        <v>1</v>
      </c>
      <c r="T15" t="s">
        <v>26</v>
      </c>
      <c r="U15" t="s">
        <v>27</v>
      </c>
      <c r="W15" t="s">
        <v>28</v>
      </c>
      <c r="X15">
        <v>59.725561029341698</v>
      </c>
      <c r="Y15" t="s">
        <v>29</v>
      </c>
    </row>
    <row r="16" spans="1:25" x14ac:dyDescent="0.3">
      <c r="A16">
        <v>14</v>
      </c>
      <c r="B16">
        <v>0.5</v>
      </c>
      <c r="C16">
        <v>10</v>
      </c>
      <c r="D16">
        <v>25.936665699991799</v>
      </c>
      <c r="F16">
        <v>25.921073799952801</v>
      </c>
      <c r="G16">
        <v>25.936665699991799</v>
      </c>
      <c r="H16">
        <v>26.420271099952501</v>
      </c>
      <c r="I16">
        <v>26.420271099952501</v>
      </c>
      <c r="J16">
        <v>26.436248199956001</v>
      </c>
      <c r="L16">
        <v>26.670257599966099</v>
      </c>
      <c r="M16" t="s">
        <v>25</v>
      </c>
      <c r="N16">
        <v>-10</v>
      </c>
      <c r="O16">
        <v>0</v>
      </c>
      <c r="P16">
        <v>0</v>
      </c>
      <c r="Q16">
        <v>0.23614880000241101</v>
      </c>
      <c r="R16">
        <v>514307</v>
      </c>
      <c r="S16">
        <v>1</v>
      </c>
      <c r="T16" t="s">
        <v>26</v>
      </c>
      <c r="U16" t="s">
        <v>27</v>
      </c>
      <c r="W16" t="s">
        <v>28</v>
      </c>
      <c r="X16">
        <v>59.725561029341698</v>
      </c>
      <c r="Y16" t="s">
        <v>29</v>
      </c>
    </row>
    <row r="17" spans="1:25" x14ac:dyDescent="0.3">
      <c r="A17">
        <v>15</v>
      </c>
      <c r="B17">
        <v>0.5</v>
      </c>
      <c r="C17">
        <v>10.5</v>
      </c>
      <c r="D17">
        <v>26.687092299980499</v>
      </c>
      <c r="F17">
        <v>26.670402199961199</v>
      </c>
      <c r="G17">
        <v>26.687092299980499</v>
      </c>
      <c r="H17">
        <v>27.169513000000698</v>
      </c>
      <c r="I17">
        <v>27.169513000000698</v>
      </c>
      <c r="J17">
        <v>27.186917699989799</v>
      </c>
      <c r="K17">
        <v>27.470350399962602</v>
      </c>
      <c r="L17">
        <v>27.521782699972299</v>
      </c>
      <c r="M17" t="s">
        <v>30</v>
      </c>
      <c r="N17">
        <v>10.5</v>
      </c>
      <c r="O17">
        <v>1</v>
      </c>
      <c r="P17">
        <v>1</v>
      </c>
      <c r="Q17">
        <v>0.34043720003683098</v>
      </c>
      <c r="R17">
        <v>514307</v>
      </c>
      <c r="S17">
        <v>1</v>
      </c>
      <c r="T17" t="s">
        <v>26</v>
      </c>
      <c r="U17" t="s">
        <v>27</v>
      </c>
      <c r="W17" t="s">
        <v>28</v>
      </c>
      <c r="X17">
        <v>59.725561029341698</v>
      </c>
      <c r="Y17" t="s">
        <v>29</v>
      </c>
    </row>
    <row r="18" spans="1:25" x14ac:dyDescent="0.3">
      <c r="A18">
        <v>16</v>
      </c>
      <c r="B18">
        <v>0.5</v>
      </c>
      <c r="C18">
        <v>10.5</v>
      </c>
      <c r="D18">
        <v>27.538424299971599</v>
      </c>
      <c r="F18">
        <v>27.521988999971601</v>
      </c>
      <c r="G18">
        <v>27.538424299971599</v>
      </c>
      <c r="H18">
        <v>28.036711299966498</v>
      </c>
      <c r="I18">
        <v>28.036711299966498</v>
      </c>
      <c r="J18">
        <v>28.053276099963099</v>
      </c>
      <c r="K18">
        <v>28.337133399967499</v>
      </c>
      <c r="L18">
        <v>28.703823099960498</v>
      </c>
      <c r="M18" t="s">
        <v>30</v>
      </c>
      <c r="N18">
        <v>10.5</v>
      </c>
      <c r="O18" s="1">
        <v>1</v>
      </c>
      <c r="P18">
        <v>1</v>
      </c>
      <c r="Q18">
        <v>0.65794340003049001</v>
      </c>
      <c r="R18">
        <v>514307</v>
      </c>
      <c r="S18">
        <v>1</v>
      </c>
      <c r="T18" t="s">
        <v>26</v>
      </c>
      <c r="U18" t="s">
        <v>27</v>
      </c>
      <c r="W18" t="s">
        <v>28</v>
      </c>
      <c r="X18">
        <v>59.725561029341698</v>
      </c>
      <c r="Y18" t="s">
        <v>29</v>
      </c>
    </row>
    <row r="19" spans="1:25" x14ac:dyDescent="0.3">
      <c r="A19">
        <v>17</v>
      </c>
      <c r="B19">
        <v>0.5</v>
      </c>
      <c r="C19">
        <v>10.5</v>
      </c>
      <c r="D19">
        <v>28.720264000003201</v>
      </c>
      <c r="F19">
        <v>28.704066999955099</v>
      </c>
      <c r="G19">
        <v>28.720264000003201</v>
      </c>
      <c r="H19">
        <v>29.2031602999777</v>
      </c>
      <c r="I19">
        <v>29.2031602999777</v>
      </c>
      <c r="J19">
        <v>29.2198352999985</v>
      </c>
      <c r="K19">
        <v>29.503541699959801</v>
      </c>
      <c r="L19">
        <v>33.503842599980999</v>
      </c>
      <c r="M19" t="s">
        <v>30</v>
      </c>
      <c r="N19">
        <v>10.5</v>
      </c>
      <c r="O19" s="1">
        <v>0</v>
      </c>
      <c r="P19">
        <v>0</v>
      </c>
      <c r="Q19">
        <v>4.2862414999981402</v>
      </c>
      <c r="R19">
        <v>514307</v>
      </c>
      <c r="S19">
        <v>1</v>
      </c>
      <c r="T19" t="s">
        <v>26</v>
      </c>
      <c r="U19" t="s">
        <v>27</v>
      </c>
      <c r="W19" t="s">
        <v>28</v>
      </c>
      <c r="X19">
        <v>59.725561029341698</v>
      </c>
      <c r="Y19" t="s">
        <v>29</v>
      </c>
    </row>
    <row r="20" spans="1:25" x14ac:dyDescent="0.3">
      <c r="A20">
        <v>18</v>
      </c>
      <c r="B20">
        <v>0.5</v>
      </c>
      <c r="C20">
        <v>11</v>
      </c>
      <c r="D20">
        <v>33.519892399955999</v>
      </c>
      <c r="F20">
        <v>33.504000199958597</v>
      </c>
      <c r="G20">
        <v>33.519892399955999</v>
      </c>
      <c r="H20">
        <v>34.003378199995403</v>
      </c>
      <c r="I20">
        <v>34.003378199995403</v>
      </c>
      <c r="J20">
        <v>34.019616100005798</v>
      </c>
      <c r="L20">
        <v>34.236720899993003</v>
      </c>
      <c r="M20" t="s">
        <v>25</v>
      </c>
      <c r="N20">
        <v>-11</v>
      </c>
      <c r="O20">
        <v>1</v>
      </c>
      <c r="P20">
        <v>1</v>
      </c>
      <c r="Q20">
        <v>0.226834199973382</v>
      </c>
      <c r="R20">
        <v>514307</v>
      </c>
      <c r="S20">
        <v>1</v>
      </c>
      <c r="T20" t="s">
        <v>26</v>
      </c>
      <c r="U20" t="s">
        <v>27</v>
      </c>
      <c r="W20" t="s">
        <v>28</v>
      </c>
      <c r="X20">
        <v>59.725561029341698</v>
      </c>
      <c r="Y20" t="s">
        <v>29</v>
      </c>
    </row>
    <row r="21" spans="1:25" x14ac:dyDescent="0.3">
      <c r="A21">
        <v>19</v>
      </c>
      <c r="B21">
        <v>0.5</v>
      </c>
      <c r="C21">
        <v>11</v>
      </c>
      <c r="D21">
        <v>34.252876199956503</v>
      </c>
      <c r="F21">
        <v>34.236842299986101</v>
      </c>
      <c r="G21">
        <v>34.252876199956503</v>
      </c>
      <c r="H21">
        <v>34.736799100006401</v>
      </c>
      <c r="I21">
        <v>34.736799100006401</v>
      </c>
      <c r="J21">
        <v>34.752838099957401</v>
      </c>
      <c r="K21">
        <v>35.036250100005397</v>
      </c>
      <c r="L21">
        <v>35.403235199977601</v>
      </c>
      <c r="M21" t="s">
        <v>25</v>
      </c>
      <c r="N21">
        <v>-11</v>
      </c>
      <c r="O21" s="1">
        <v>1</v>
      </c>
      <c r="P21">
        <v>1</v>
      </c>
      <c r="Q21">
        <v>0.65979460004018597</v>
      </c>
      <c r="R21">
        <v>514307</v>
      </c>
      <c r="S21">
        <v>1</v>
      </c>
      <c r="T21" t="s">
        <v>26</v>
      </c>
      <c r="U21" t="s">
        <v>27</v>
      </c>
      <c r="W21" t="s">
        <v>28</v>
      </c>
      <c r="X21">
        <v>59.725561029341698</v>
      </c>
      <c r="Y21" t="s">
        <v>29</v>
      </c>
    </row>
    <row r="22" spans="1:25" x14ac:dyDescent="0.3">
      <c r="A22">
        <v>20</v>
      </c>
      <c r="B22">
        <v>0.5</v>
      </c>
      <c r="C22">
        <v>11</v>
      </c>
      <c r="D22">
        <v>35.419953299977301</v>
      </c>
      <c r="F22">
        <v>35.403417199966498</v>
      </c>
      <c r="G22">
        <v>35.419953299977301</v>
      </c>
      <c r="H22">
        <v>35.902955700002998</v>
      </c>
      <c r="I22">
        <v>35.902955700002998</v>
      </c>
      <c r="J22">
        <v>35.919604800001203</v>
      </c>
      <c r="K22">
        <v>36.2035427999799</v>
      </c>
      <c r="L22">
        <v>36.4363784999586</v>
      </c>
      <c r="M22" t="s">
        <v>30</v>
      </c>
      <c r="N22">
        <v>11</v>
      </c>
      <c r="O22" s="1">
        <v>0</v>
      </c>
      <c r="P22">
        <v>0</v>
      </c>
      <c r="Q22">
        <v>0.527789799962192</v>
      </c>
      <c r="R22">
        <v>514307</v>
      </c>
      <c r="S22">
        <v>1</v>
      </c>
      <c r="T22" t="s">
        <v>26</v>
      </c>
      <c r="U22" t="s">
        <v>27</v>
      </c>
      <c r="W22" t="s">
        <v>28</v>
      </c>
      <c r="X22">
        <v>59.725561029341698</v>
      </c>
      <c r="Y22" t="s">
        <v>29</v>
      </c>
    </row>
    <row r="23" spans="1:25" x14ac:dyDescent="0.3">
      <c r="A23">
        <v>21</v>
      </c>
      <c r="B23">
        <v>0.5</v>
      </c>
      <c r="C23">
        <v>11.5</v>
      </c>
      <c r="D23">
        <v>36.452947799989403</v>
      </c>
      <c r="F23">
        <v>36.436497799993901</v>
      </c>
      <c r="G23">
        <v>36.452947799989403</v>
      </c>
      <c r="H23">
        <v>36.936315900005802</v>
      </c>
      <c r="I23">
        <v>36.936315900005802</v>
      </c>
      <c r="J23">
        <v>36.953035499958702</v>
      </c>
      <c r="K23">
        <v>37.237489299964999</v>
      </c>
      <c r="L23">
        <v>37.403237699996602</v>
      </c>
      <c r="M23" t="s">
        <v>30</v>
      </c>
      <c r="N23">
        <v>11.5</v>
      </c>
      <c r="O23">
        <v>0</v>
      </c>
      <c r="P23">
        <v>0</v>
      </c>
      <c r="Q23">
        <v>0.46367209998425002</v>
      </c>
      <c r="R23">
        <v>514307</v>
      </c>
      <c r="S23">
        <v>1</v>
      </c>
      <c r="T23" t="s">
        <v>26</v>
      </c>
      <c r="U23" t="s">
        <v>27</v>
      </c>
      <c r="W23" t="s">
        <v>28</v>
      </c>
      <c r="X23">
        <v>59.725561029341698</v>
      </c>
      <c r="Y23" t="s">
        <v>29</v>
      </c>
    </row>
    <row r="24" spans="1:25" x14ac:dyDescent="0.3">
      <c r="A24">
        <v>22</v>
      </c>
      <c r="B24">
        <v>0.5</v>
      </c>
      <c r="C24">
        <v>12</v>
      </c>
      <c r="D24">
        <v>37.420330599998103</v>
      </c>
      <c r="F24">
        <v>37.403360199998097</v>
      </c>
      <c r="G24">
        <v>37.420330599998103</v>
      </c>
      <c r="H24">
        <v>37.903436099993897</v>
      </c>
      <c r="I24">
        <v>37.903436099993897</v>
      </c>
      <c r="J24">
        <v>37.9200708999997</v>
      </c>
      <c r="K24">
        <v>38.2032554000034</v>
      </c>
      <c r="L24">
        <v>38.337273099983499</v>
      </c>
      <c r="M24" t="s">
        <v>25</v>
      </c>
      <c r="N24">
        <v>-12</v>
      </c>
      <c r="O24">
        <v>0</v>
      </c>
      <c r="P24">
        <v>0</v>
      </c>
      <c r="Q24">
        <v>0.43027100001927399</v>
      </c>
      <c r="R24">
        <v>514307</v>
      </c>
      <c r="S24">
        <v>1</v>
      </c>
      <c r="T24" t="s">
        <v>26</v>
      </c>
      <c r="U24" t="s">
        <v>27</v>
      </c>
      <c r="W24" t="s">
        <v>28</v>
      </c>
      <c r="X24">
        <v>59.725561029341698</v>
      </c>
      <c r="Y24" t="s">
        <v>29</v>
      </c>
    </row>
    <row r="25" spans="1:25" x14ac:dyDescent="0.3">
      <c r="A25">
        <v>23</v>
      </c>
      <c r="B25">
        <v>0.5</v>
      </c>
      <c r="C25">
        <v>12.5</v>
      </c>
      <c r="D25">
        <v>38.353140599967404</v>
      </c>
      <c r="F25">
        <v>38.337463499978099</v>
      </c>
      <c r="G25">
        <v>38.353140599967404</v>
      </c>
      <c r="H25">
        <v>38.836777899996299</v>
      </c>
      <c r="I25">
        <v>38.836777899996299</v>
      </c>
      <c r="J25">
        <v>38.853531399974599</v>
      </c>
      <c r="K25">
        <v>39.1370004999917</v>
      </c>
      <c r="L25">
        <v>39.304076200001802</v>
      </c>
      <c r="M25" t="s">
        <v>30</v>
      </c>
      <c r="N25">
        <v>12.5</v>
      </c>
      <c r="O25" s="1">
        <v>1</v>
      </c>
      <c r="P25">
        <v>1</v>
      </c>
      <c r="Q25">
        <v>0.46008390001952598</v>
      </c>
      <c r="R25">
        <v>514307</v>
      </c>
      <c r="S25">
        <v>1</v>
      </c>
      <c r="T25" t="s">
        <v>26</v>
      </c>
      <c r="U25" t="s">
        <v>27</v>
      </c>
      <c r="W25" t="s">
        <v>28</v>
      </c>
      <c r="X25">
        <v>59.725561029341698</v>
      </c>
      <c r="Y25" t="s">
        <v>29</v>
      </c>
    </row>
    <row r="26" spans="1:25" x14ac:dyDescent="0.3">
      <c r="A26">
        <v>24</v>
      </c>
      <c r="B26">
        <v>0.5</v>
      </c>
      <c r="C26">
        <v>12.5</v>
      </c>
      <c r="D26">
        <v>39.320022500003603</v>
      </c>
      <c r="F26">
        <v>39.304219099984003</v>
      </c>
      <c r="G26">
        <v>39.320022500003603</v>
      </c>
      <c r="H26">
        <v>39.803474999964202</v>
      </c>
      <c r="I26">
        <v>39.803474999964202</v>
      </c>
      <c r="J26">
        <v>39.820328500005402</v>
      </c>
      <c r="K26">
        <v>40.1029796999646</v>
      </c>
      <c r="L26">
        <v>40.236976599960997</v>
      </c>
      <c r="M26" t="s">
        <v>25</v>
      </c>
      <c r="N26">
        <v>-12.5</v>
      </c>
      <c r="O26" s="1">
        <v>0</v>
      </c>
      <c r="P26">
        <v>0</v>
      </c>
      <c r="Q26">
        <v>0.431012599961832</v>
      </c>
      <c r="R26">
        <v>514307</v>
      </c>
      <c r="S26">
        <v>1</v>
      </c>
      <c r="T26" t="s">
        <v>26</v>
      </c>
      <c r="U26" t="s">
        <v>27</v>
      </c>
      <c r="W26" t="s">
        <v>28</v>
      </c>
      <c r="X26">
        <v>59.725561029341698</v>
      </c>
      <c r="Y26" t="s">
        <v>29</v>
      </c>
    </row>
    <row r="27" spans="1:25" x14ac:dyDescent="0.3">
      <c r="A27">
        <v>25</v>
      </c>
      <c r="B27">
        <v>0.5</v>
      </c>
      <c r="C27">
        <v>13</v>
      </c>
      <c r="D27">
        <v>40.2543404999887</v>
      </c>
      <c r="F27">
        <v>40.237104999949203</v>
      </c>
      <c r="G27">
        <v>40.2543404999887</v>
      </c>
      <c r="H27">
        <v>40.736946299963101</v>
      </c>
      <c r="I27">
        <v>40.736946299963101</v>
      </c>
      <c r="J27">
        <v>40.753352799976703</v>
      </c>
      <c r="K27">
        <v>41.036209999991101</v>
      </c>
      <c r="L27">
        <v>41.187106699973803</v>
      </c>
      <c r="M27" t="s">
        <v>25</v>
      </c>
      <c r="N27">
        <v>-13</v>
      </c>
      <c r="O27">
        <v>1</v>
      </c>
      <c r="P27">
        <v>1</v>
      </c>
      <c r="Q27">
        <v>0.43426399998134002</v>
      </c>
      <c r="R27">
        <v>514307</v>
      </c>
      <c r="S27">
        <v>1</v>
      </c>
      <c r="T27" t="s">
        <v>26</v>
      </c>
      <c r="U27" t="s">
        <v>27</v>
      </c>
      <c r="W27" t="s">
        <v>28</v>
      </c>
      <c r="X27">
        <v>59.725561029341698</v>
      </c>
      <c r="Y27" t="s">
        <v>29</v>
      </c>
    </row>
    <row r="28" spans="1:25" x14ac:dyDescent="0.3">
      <c r="A28">
        <v>26</v>
      </c>
      <c r="B28">
        <v>0.5</v>
      </c>
      <c r="C28">
        <v>13</v>
      </c>
      <c r="D28">
        <v>41.2030156999826</v>
      </c>
      <c r="F28">
        <v>41.187391099985597</v>
      </c>
      <c r="G28">
        <v>41.2030156999826</v>
      </c>
      <c r="H28">
        <v>41.686791399959397</v>
      </c>
      <c r="I28">
        <v>41.686791399959397</v>
      </c>
      <c r="J28">
        <v>41.703194500005303</v>
      </c>
      <c r="K28">
        <v>41.988672399951597</v>
      </c>
      <c r="L28">
        <v>42.287834699964101</v>
      </c>
      <c r="M28" t="s">
        <v>25</v>
      </c>
      <c r="N28">
        <v>-13</v>
      </c>
      <c r="O28">
        <v>1</v>
      </c>
      <c r="P28">
        <v>1</v>
      </c>
      <c r="Q28">
        <v>0.585302299994509</v>
      </c>
      <c r="R28">
        <v>514307</v>
      </c>
      <c r="S28">
        <v>1</v>
      </c>
      <c r="T28" t="s">
        <v>26</v>
      </c>
      <c r="U28" t="s">
        <v>27</v>
      </c>
      <c r="W28" t="s">
        <v>28</v>
      </c>
      <c r="X28">
        <v>59.725561029341698</v>
      </c>
      <c r="Y28" t="s">
        <v>29</v>
      </c>
    </row>
    <row r="29" spans="1:25" x14ac:dyDescent="0.3">
      <c r="A29">
        <v>27</v>
      </c>
      <c r="B29">
        <v>0.5</v>
      </c>
      <c r="C29">
        <v>13</v>
      </c>
      <c r="D29">
        <v>42.3043103999807</v>
      </c>
      <c r="F29">
        <v>42.288040799961799</v>
      </c>
      <c r="G29">
        <v>42.3043103999807</v>
      </c>
      <c r="H29">
        <v>42.803035099990602</v>
      </c>
      <c r="I29">
        <v>42.803035099990602</v>
      </c>
      <c r="J29">
        <v>42.803035099990602</v>
      </c>
      <c r="K29">
        <v>43.1033749000052</v>
      </c>
      <c r="L29">
        <v>43.454413499974102</v>
      </c>
      <c r="M29" t="s">
        <v>25</v>
      </c>
      <c r="N29">
        <v>-13</v>
      </c>
      <c r="O29">
        <v>1</v>
      </c>
      <c r="P29">
        <v>1</v>
      </c>
      <c r="Q29">
        <v>0.64903739996952903</v>
      </c>
      <c r="R29">
        <v>514307</v>
      </c>
      <c r="S29">
        <v>1</v>
      </c>
      <c r="T29" t="s">
        <v>26</v>
      </c>
      <c r="U29" t="s">
        <v>27</v>
      </c>
      <c r="W29" t="s">
        <v>28</v>
      </c>
      <c r="X29">
        <v>59.725561029341698</v>
      </c>
      <c r="Y29" t="s">
        <v>29</v>
      </c>
    </row>
    <row r="30" spans="1:25" x14ac:dyDescent="0.3">
      <c r="A30">
        <v>28</v>
      </c>
      <c r="B30">
        <v>0.5</v>
      </c>
      <c r="C30">
        <v>12.5</v>
      </c>
      <c r="D30">
        <v>43.470738499949199</v>
      </c>
      <c r="F30">
        <v>43.4546245999517</v>
      </c>
      <c r="G30">
        <v>43.470738499949199</v>
      </c>
      <c r="H30">
        <v>43.969714399951002</v>
      </c>
      <c r="I30">
        <v>43.969714399951002</v>
      </c>
      <c r="J30">
        <v>43.969714399951002</v>
      </c>
      <c r="K30">
        <v>44.2706245000008</v>
      </c>
      <c r="L30">
        <v>44.370223699952398</v>
      </c>
      <c r="M30" t="s">
        <v>25</v>
      </c>
      <c r="N30">
        <v>-12.5</v>
      </c>
      <c r="O30" s="1">
        <v>1</v>
      </c>
      <c r="P30">
        <v>1</v>
      </c>
      <c r="Q30">
        <v>0.39083700004266497</v>
      </c>
      <c r="R30">
        <v>514307</v>
      </c>
      <c r="S30">
        <v>1</v>
      </c>
      <c r="T30" t="s">
        <v>26</v>
      </c>
      <c r="U30" t="s">
        <v>27</v>
      </c>
      <c r="W30" t="s">
        <v>28</v>
      </c>
      <c r="X30">
        <v>59.725561029341698</v>
      </c>
      <c r="Y30" t="s">
        <v>29</v>
      </c>
    </row>
    <row r="31" spans="1:25" x14ac:dyDescent="0.3">
      <c r="A31">
        <v>29</v>
      </c>
      <c r="B31">
        <v>0.5</v>
      </c>
      <c r="C31">
        <v>12.5</v>
      </c>
      <c r="D31">
        <v>44.386716399982099</v>
      </c>
      <c r="F31">
        <v>44.370410099974798</v>
      </c>
      <c r="G31">
        <v>44.386716399982099</v>
      </c>
      <c r="H31">
        <v>44.869762199988998</v>
      </c>
      <c r="I31">
        <v>44.869762199988998</v>
      </c>
      <c r="J31">
        <v>44.886840799997998</v>
      </c>
      <c r="K31">
        <v>45.170123899995801</v>
      </c>
      <c r="L31">
        <v>45.337646499974603</v>
      </c>
      <c r="M31" t="s">
        <v>30</v>
      </c>
      <c r="N31">
        <v>12.5</v>
      </c>
      <c r="O31" s="1">
        <v>0</v>
      </c>
      <c r="P31">
        <v>0</v>
      </c>
      <c r="Q31">
        <v>0.45842390001052902</v>
      </c>
      <c r="R31">
        <v>514307</v>
      </c>
      <c r="S31">
        <v>1</v>
      </c>
      <c r="T31" t="s">
        <v>26</v>
      </c>
      <c r="U31" t="s">
        <v>27</v>
      </c>
      <c r="W31" t="s">
        <v>28</v>
      </c>
      <c r="X31">
        <v>59.725561029341698</v>
      </c>
      <c r="Y31" t="s">
        <v>29</v>
      </c>
    </row>
    <row r="32" spans="1:25" x14ac:dyDescent="0.3">
      <c r="A32">
        <v>30</v>
      </c>
      <c r="B32">
        <v>0.5</v>
      </c>
      <c r="C32">
        <v>13</v>
      </c>
      <c r="D32">
        <v>45.356119399948497</v>
      </c>
      <c r="F32">
        <v>45.337853199976898</v>
      </c>
      <c r="G32">
        <v>45.356119399948497</v>
      </c>
      <c r="H32">
        <v>45.836552699969602</v>
      </c>
      <c r="I32">
        <v>45.836552699969602</v>
      </c>
      <c r="J32">
        <v>45.870130800001697</v>
      </c>
      <c r="K32">
        <v>46.1366801999975</v>
      </c>
      <c r="L32">
        <v>46.253984099952497</v>
      </c>
      <c r="M32" t="s">
        <v>30</v>
      </c>
      <c r="N32">
        <v>13</v>
      </c>
      <c r="O32">
        <v>0</v>
      </c>
      <c r="P32">
        <v>0</v>
      </c>
      <c r="Q32">
        <v>0.40841870004078301</v>
      </c>
      <c r="R32">
        <v>514307</v>
      </c>
      <c r="S32">
        <v>1</v>
      </c>
      <c r="T32" t="s">
        <v>26</v>
      </c>
      <c r="U32" t="s">
        <v>27</v>
      </c>
      <c r="W32" t="s">
        <v>28</v>
      </c>
      <c r="X32">
        <v>59.725561029341698</v>
      </c>
      <c r="Y32" t="s">
        <v>29</v>
      </c>
    </row>
    <row r="33" spans="1:25" x14ac:dyDescent="0.3">
      <c r="A33">
        <v>31</v>
      </c>
      <c r="B33">
        <v>0.5</v>
      </c>
      <c r="C33">
        <v>13.5</v>
      </c>
      <c r="D33">
        <v>46.270268499967599</v>
      </c>
      <c r="F33">
        <v>46.254253399965798</v>
      </c>
      <c r="G33">
        <v>46.270268499967599</v>
      </c>
      <c r="H33">
        <v>46.753403699956799</v>
      </c>
      <c r="I33">
        <v>46.753403699956799</v>
      </c>
      <c r="J33">
        <v>46.769923499959901</v>
      </c>
      <c r="K33">
        <v>47.053222399961598</v>
      </c>
      <c r="L33">
        <v>47.170318299962602</v>
      </c>
      <c r="M33" t="s">
        <v>25</v>
      </c>
      <c r="N33">
        <v>-13.5</v>
      </c>
      <c r="O33" s="1">
        <v>1</v>
      </c>
      <c r="P33">
        <v>1</v>
      </c>
      <c r="Q33">
        <v>0.41607510001631398</v>
      </c>
      <c r="R33">
        <v>514307</v>
      </c>
      <c r="S33">
        <v>1</v>
      </c>
      <c r="T33" t="s">
        <v>26</v>
      </c>
      <c r="U33" t="s">
        <v>27</v>
      </c>
      <c r="W33" t="s">
        <v>28</v>
      </c>
      <c r="X33">
        <v>59.725561029341698</v>
      </c>
      <c r="Y33" t="s">
        <v>29</v>
      </c>
    </row>
    <row r="34" spans="1:25" x14ac:dyDescent="0.3">
      <c r="A34">
        <v>32</v>
      </c>
      <c r="B34">
        <v>0.5</v>
      </c>
      <c r="C34">
        <v>13.5</v>
      </c>
      <c r="D34">
        <v>47.186672499985399</v>
      </c>
      <c r="F34">
        <v>47.170447599957697</v>
      </c>
      <c r="G34">
        <v>47.186672499985399</v>
      </c>
      <c r="H34">
        <v>47.6703600999899</v>
      </c>
      <c r="I34">
        <v>47.6703600999899</v>
      </c>
      <c r="J34">
        <v>47.686248199955998</v>
      </c>
      <c r="K34">
        <v>47.969314099987898</v>
      </c>
      <c r="L34">
        <v>48.2039409999852</v>
      </c>
      <c r="M34" t="s">
        <v>30</v>
      </c>
      <c r="N34">
        <v>13.5</v>
      </c>
      <c r="O34" s="1">
        <v>0</v>
      </c>
      <c r="P34">
        <v>0</v>
      </c>
      <c r="Q34">
        <v>0.51620269997511004</v>
      </c>
      <c r="R34">
        <v>514307</v>
      </c>
      <c r="S34">
        <v>1</v>
      </c>
      <c r="T34" t="s">
        <v>26</v>
      </c>
      <c r="U34" t="s">
        <v>27</v>
      </c>
      <c r="W34" t="s">
        <v>28</v>
      </c>
      <c r="X34">
        <v>59.725561029341698</v>
      </c>
      <c r="Y34" t="s">
        <v>29</v>
      </c>
    </row>
    <row r="35" spans="1:25" x14ac:dyDescent="0.3">
      <c r="A35">
        <v>33</v>
      </c>
      <c r="B35">
        <v>0.5</v>
      </c>
      <c r="C35">
        <v>14</v>
      </c>
      <c r="D35">
        <v>48.220353399985399</v>
      </c>
      <c r="F35">
        <v>48.204069399973299</v>
      </c>
      <c r="G35">
        <v>48.220353399985399</v>
      </c>
      <c r="H35">
        <v>48.703483599994797</v>
      </c>
      <c r="I35">
        <v>48.703483599994797</v>
      </c>
      <c r="J35">
        <v>48.720003800000903</v>
      </c>
      <c r="K35">
        <v>49.003700000001103</v>
      </c>
      <c r="L35">
        <v>49.186963899992399</v>
      </c>
      <c r="M35" t="s">
        <v>30</v>
      </c>
      <c r="N35">
        <v>14</v>
      </c>
      <c r="O35">
        <v>0</v>
      </c>
      <c r="P35">
        <v>0</v>
      </c>
      <c r="Q35">
        <v>0.47829880000790498</v>
      </c>
      <c r="R35">
        <v>514307</v>
      </c>
      <c r="S35">
        <v>1</v>
      </c>
      <c r="T35" t="s">
        <v>26</v>
      </c>
      <c r="U35" t="s">
        <v>27</v>
      </c>
      <c r="W35" t="s">
        <v>28</v>
      </c>
      <c r="X35">
        <v>59.725561029341698</v>
      </c>
      <c r="Y35" t="s">
        <v>29</v>
      </c>
    </row>
    <row r="36" spans="1:25" x14ac:dyDescent="0.3">
      <c r="A36">
        <v>34</v>
      </c>
      <c r="B36">
        <v>0.5</v>
      </c>
      <c r="C36">
        <v>14.5</v>
      </c>
      <c r="D36">
        <v>49.203060499974498</v>
      </c>
      <c r="F36">
        <v>49.187158799963001</v>
      </c>
      <c r="G36">
        <v>49.203060499974498</v>
      </c>
      <c r="H36">
        <v>49.686799699964403</v>
      </c>
      <c r="I36">
        <v>49.686799699964403</v>
      </c>
      <c r="J36">
        <v>49.703279299952499</v>
      </c>
      <c r="L36">
        <v>49.887040799949297</v>
      </c>
      <c r="M36" t="s">
        <v>25</v>
      </c>
      <c r="N36">
        <v>-14.5</v>
      </c>
      <c r="O36">
        <v>0</v>
      </c>
      <c r="P36">
        <v>0</v>
      </c>
      <c r="Q36">
        <v>0.19667620002291999</v>
      </c>
      <c r="R36">
        <v>514307</v>
      </c>
      <c r="S36">
        <v>1</v>
      </c>
      <c r="T36" t="s">
        <v>26</v>
      </c>
      <c r="U36" t="s">
        <v>27</v>
      </c>
      <c r="W36" t="s">
        <v>28</v>
      </c>
      <c r="X36">
        <v>59.725561029341698</v>
      </c>
      <c r="Y36" t="s">
        <v>29</v>
      </c>
    </row>
    <row r="37" spans="1:25" x14ac:dyDescent="0.3">
      <c r="A37">
        <v>35</v>
      </c>
      <c r="B37">
        <v>0.5</v>
      </c>
      <c r="C37">
        <v>15</v>
      </c>
      <c r="D37">
        <v>49.903338899952303</v>
      </c>
      <c r="F37">
        <v>49.887252099986597</v>
      </c>
      <c r="G37">
        <v>49.903338899952303</v>
      </c>
      <c r="H37">
        <v>50.387331699952398</v>
      </c>
      <c r="I37">
        <v>50.387331699952398</v>
      </c>
      <c r="J37">
        <v>50.403219699975999</v>
      </c>
      <c r="L37">
        <v>50.6369979999726</v>
      </c>
      <c r="M37" t="s">
        <v>30</v>
      </c>
      <c r="N37">
        <v>15</v>
      </c>
      <c r="O37">
        <v>1</v>
      </c>
      <c r="P37">
        <v>1</v>
      </c>
      <c r="Q37">
        <v>0.24604440003167799</v>
      </c>
      <c r="R37">
        <v>514307</v>
      </c>
      <c r="S37">
        <v>1</v>
      </c>
      <c r="T37" t="s">
        <v>26</v>
      </c>
      <c r="U37" t="s">
        <v>27</v>
      </c>
      <c r="W37" t="s">
        <v>28</v>
      </c>
      <c r="X37">
        <v>59.725561029341698</v>
      </c>
      <c r="Y37" t="s">
        <v>29</v>
      </c>
    </row>
    <row r="38" spans="1:25" x14ac:dyDescent="0.3">
      <c r="A38">
        <v>36</v>
      </c>
      <c r="B38">
        <v>0.5</v>
      </c>
      <c r="C38">
        <v>15</v>
      </c>
      <c r="D38">
        <v>50.652734100003698</v>
      </c>
      <c r="F38">
        <v>50.637167999986502</v>
      </c>
      <c r="G38">
        <v>50.652734100003698</v>
      </c>
      <c r="H38">
        <v>51.136991499981299</v>
      </c>
      <c r="I38">
        <v>51.136991499981299</v>
      </c>
      <c r="J38">
        <v>51.153521200001698</v>
      </c>
      <c r="L38">
        <v>51.321438299957599</v>
      </c>
      <c r="M38" t="s">
        <v>30</v>
      </c>
      <c r="N38">
        <v>15</v>
      </c>
      <c r="O38">
        <v>1</v>
      </c>
      <c r="P38">
        <v>1</v>
      </c>
      <c r="Q38">
        <v>0.17220559995621401</v>
      </c>
      <c r="R38">
        <v>514307</v>
      </c>
      <c r="S38">
        <v>1</v>
      </c>
      <c r="T38" t="s">
        <v>26</v>
      </c>
      <c r="U38" t="s">
        <v>27</v>
      </c>
      <c r="W38" t="s">
        <v>28</v>
      </c>
      <c r="X38">
        <v>59.725561029341698</v>
      </c>
      <c r="Y38" t="s">
        <v>29</v>
      </c>
    </row>
    <row r="39" spans="1:25" x14ac:dyDescent="0.3">
      <c r="A39">
        <v>37</v>
      </c>
      <c r="B39">
        <v>0.5</v>
      </c>
      <c r="C39">
        <v>15</v>
      </c>
      <c r="D39">
        <v>51.336464399995698</v>
      </c>
      <c r="F39">
        <v>51.3216085999738</v>
      </c>
      <c r="G39">
        <v>51.336464399995698</v>
      </c>
      <c r="H39">
        <v>51.820601899991701</v>
      </c>
      <c r="I39">
        <v>51.820601899991701</v>
      </c>
      <c r="J39">
        <v>51.837013099982798</v>
      </c>
      <c r="L39">
        <v>51.920223699998999</v>
      </c>
      <c r="M39" t="s">
        <v>30</v>
      </c>
      <c r="N39">
        <v>15</v>
      </c>
      <c r="O39" s="1">
        <v>1</v>
      </c>
      <c r="P39">
        <v>1</v>
      </c>
      <c r="Q39">
        <v>9.3018200015649199E-2</v>
      </c>
      <c r="R39">
        <v>514307</v>
      </c>
      <c r="S39">
        <v>1</v>
      </c>
      <c r="T39" t="s">
        <v>26</v>
      </c>
      <c r="U39" t="s">
        <v>27</v>
      </c>
      <c r="W39" t="s">
        <v>28</v>
      </c>
      <c r="X39">
        <v>59.725561029341698</v>
      </c>
      <c r="Y39" t="s">
        <v>29</v>
      </c>
    </row>
    <row r="40" spans="1:25" x14ac:dyDescent="0.3">
      <c r="A40">
        <v>38</v>
      </c>
      <c r="B40">
        <v>0.5</v>
      </c>
      <c r="C40">
        <v>14.5</v>
      </c>
      <c r="D40">
        <v>51.936016199993901</v>
      </c>
      <c r="F40">
        <v>51.920342899975303</v>
      </c>
      <c r="G40">
        <v>51.936016199993901</v>
      </c>
      <c r="H40">
        <v>52.420755199971602</v>
      </c>
      <c r="I40">
        <v>52.420755199971602</v>
      </c>
      <c r="J40">
        <v>52.436606000002897</v>
      </c>
      <c r="L40">
        <v>52.4538796999841</v>
      </c>
      <c r="M40" t="s">
        <v>25</v>
      </c>
      <c r="N40">
        <v>-14.5</v>
      </c>
      <c r="O40" s="1">
        <v>0</v>
      </c>
      <c r="P40">
        <v>0</v>
      </c>
      <c r="Q40">
        <v>2.4344200035557099E-2</v>
      </c>
      <c r="R40">
        <v>514307</v>
      </c>
      <c r="S40">
        <v>1</v>
      </c>
      <c r="T40" t="s">
        <v>26</v>
      </c>
      <c r="U40" t="s">
        <v>27</v>
      </c>
      <c r="W40" t="s">
        <v>28</v>
      </c>
      <c r="X40">
        <v>59.725561029341698</v>
      </c>
      <c r="Y40" t="s">
        <v>29</v>
      </c>
    </row>
    <row r="41" spans="1:25" x14ac:dyDescent="0.3">
      <c r="A41">
        <v>39</v>
      </c>
      <c r="B41">
        <v>0.5</v>
      </c>
      <c r="C41">
        <v>15</v>
      </c>
      <c r="D41">
        <v>52.469964299991197</v>
      </c>
      <c r="F41">
        <v>52.454000599973298</v>
      </c>
      <c r="G41">
        <v>52.469964299991197</v>
      </c>
      <c r="H41">
        <v>52.953072899952502</v>
      </c>
      <c r="I41">
        <v>52.953072899952502</v>
      </c>
      <c r="J41">
        <v>52.969577699957803</v>
      </c>
      <c r="L41">
        <v>52.969944499956902</v>
      </c>
      <c r="M41" t="s">
        <v>30</v>
      </c>
      <c r="N41">
        <v>15</v>
      </c>
      <c r="O41">
        <v>1</v>
      </c>
      <c r="P41">
        <v>1</v>
      </c>
      <c r="Q41">
        <v>2.6985000004060501E-3</v>
      </c>
      <c r="R41">
        <v>514307</v>
      </c>
      <c r="S41">
        <v>1</v>
      </c>
      <c r="T41" t="s">
        <v>26</v>
      </c>
      <c r="U41" t="s">
        <v>27</v>
      </c>
      <c r="W41" t="s">
        <v>28</v>
      </c>
      <c r="X41">
        <v>59.725561029341698</v>
      </c>
      <c r="Y41" t="s">
        <v>29</v>
      </c>
    </row>
    <row r="42" spans="1:25" x14ac:dyDescent="0.3">
      <c r="A42">
        <v>40</v>
      </c>
      <c r="B42">
        <v>0.5</v>
      </c>
      <c r="C42">
        <v>15</v>
      </c>
      <c r="D42">
        <v>52.986406999989399</v>
      </c>
      <c r="F42">
        <v>52.970101199985898</v>
      </c>
      <c r="G42">
        <v>52.986406999989399</v>
      </c>
      <c r="H42">
        <v>53.471297799958798</v>
      </c>
      <c r="I42">
        <v>53.471297799958798</v>
      </c>
      <c r="J42">
        <v>53.4868985999492</v>
      </c>
      <c r="K42">
        <v>53.786493399995301</v>
      </c>
      <c r="L42">
        <v>53.986372099956498</v>
      </c>
      <c r="M42" t="s">
        <v>30</v>
      </c>
      <c r="N42">
        <v>15</v>
      </c>
      <c r="O42">
        <v>1</v>
      </c>
      <c r="P42">
        <v>1</v>
      </c>
      <c r="Q42">
        <v>0.50874719995772399</v>
      </c>
      <c r="R42">
        <v>514307</v>
      </c>
      <c r="S42">
        <v>1</v>
      </c>
      <c r="T42" t="s">
        <v>26</v>
      </c>
      <c r="U42" t="s">
        <v>27</v>
      </c>
      <c r="W42" t="s">
        <v>28</v>
      </c>
      <c r="X42">
        <v>59.725561029341698</v>
      </c>
      <c r="Y42" t="s">
        <v>29</v>
      </c>
    </row>
    <row r="43" spans="1:25" x14ac:dyDescent="0.3">
      <c r="A43">
        <v>41</v>
      </c>
      <c r="B43">
        <v>0.5</v>
      </c>
      <c r="C43">
        <v>15</v>
      </c>
      <c r="D43">
        <v>54.003778099955497</v>
      </c>
      <c r="F43">
        <v>53.986504899978101</v>
      </c>
      <c r="G43">
        <v>54.003778099955497</v>
      </c>
      <c r="H43">
        <v>54.486881999997401</v>
      </c>
      <c r="I43">
        <v>54.486881999997401</v>
      </c>
      <c r="J43">
        <v>54.503590299980701</v>
      </c>
      <c r="K43">
        <v>54.786575599980999</v>
      </c>
      <c r="L43">
        <v>55.036420699965603</v>
      </c>
      <c r="M43" t="s">
        <v>30</v>
      </c>
      <c r="N43">
        <v>15</v>
      </c>
      <c r="O43">
        <v>1</v>
      </c>
      <c r="P43">
        <v>1</v>
      </c>
      <c r="Q43">
        <v>0.54661150003084902</v>
      </c>
      <c r="R43">
        <v>514307</v>
      </c>
      <c r="S43">
        <v>1</v>
      </c>
      <c r="T43" t="s">
        <v>26</v>
      </c>
      <c r="U43" t="s">
        <v>27</v>
      </c>
      <c r="W43" t="s">
        <v>28</v>
      </c>
      <c r="X43">
        <v>59.725561029341698</v>
      </c>
      <c r="Y43" t="s">
        <v>29</v>
      </c>
    </row>
    <row r="44" spans="1:25" x14ac:dyDescent="0.3">
      <c r="A44">
        <v>42</v>
      </c>
      <c r="B44">
        <v>0.5</v>
      </c>
      <c r="C44">
        <v>14.5</v>
      </c>
      <c r="D44">
        <v>55.054195299977401</v>
      </c>
      <c r="F44">
        <v>55.0365986999822</v>
      </c>
      <c r="G44">
        <v>55.054195299977401</v>
      </c>
      <c r="H44">
        <v>55.536688499967497</v>
      </c>
      <c r="I44">
        <v>55.536688499967497</v>
      </c>
      <c r="J44">
        <v>55.553355899988603</v>
      </c>
      <c r="L44">
        <v>55.570331799972301</v>
      </c>
      <c r="M44" t="s">
        <v>25</v>
      </c>
      <c r="N44">
        <v>-14.5</v>
      </c>
      <c r="O44">
        <v>0</v>
      </c>
      <c r="P44">
        <v>0</v>
      </c>
      <c r="Q44">
        <v>2.8742399998009201E-2</v>
      </c>
      <c r="R44">
        <v>514307</v>
      </c>
      <c r="S44">
        <v>1</v>
      </c>
      <c r="T44" t="s">
        <v>26</v>
      </c>
      <c r="U44" t="s">
        <v>27</v>
      </c>
      <c r="W44" t="s">
        <v>28</v>
      </c>
      <c r="X44">
        <v>59.725561029341698</v>
      </c>
      <c r="Y44" t="s">
        <v>29</v>
      </c>
    </row>
    <row r="45" spans="1:25" x14ac:dyDescent="0.3">
      <c r="A45">
        <v>43</v>
      </c>
      <c r="B45">
        <v>0.5</v>
      </c>
      <c r="C45">
        <v>15</v>
      </c>
      <c r="D45">
        <v>55.586688499955898</v>
      </c>
      <c r="F45">
        <v>55.570543699955998</v>
      </c>
      <c r="G45">
        <v>55.586688499955898</v>
      </c>
      <c r="H45">
        <v>56.069750799972098</v>
      </c>
      <c r="I45">
        <v>56.069750799972098</v>
      </c>
      <c r="J45">
        <v>56.086871699953903</v>
      </c>
      <c r="K45">
        <v>56.3700401999522</v>
      </c>
      <c r="L45">
        <v>56.804246199957497</v>
      </c>
      <c r="M45" t="s">
        <v>25</v>
      </c>
      <c r="N45">
        <v>-15</v>
      </c>
      <c r="O45">
        <v>0</v>
      </c>
      <c r="P45">
        <v>0</v>
      </c>
      <c r="Q45">
        <v>0.71875470003578801</v>
      </c>
      <c r="R45">
        <v>514307</v>
      </c>
      <c r="S45">
        <v>1</v>
      </c>
      <c r="T45" t="s">
        <v>26</v>
      </c>
      <c r="U45" t="s">
        <v>27</v>
      </c>
      <c r="W45" t="s">
        <v>28</v>
      </c>
      <c r="X45">
        <v>59.725561029341698</v>
      </c>
      <c r="Y45" t="s">
        <v>29</v>
      </c>
    </row>
    <row r="46" spans="1:25" x14ac:dyDescent="0.3">
      <c r="A46">
        <v>44</v>
      </c>
      <c r="B46">
        <v>0.5</v>
      </c>
      <c r="C46">
        <v>15.5</v>
      </c>
      <c r="D46">
        <v>56.8205115000018</v>
      </c>
      <c r="F46">
        <v>56.804432099976097</v>
      </c>
      <c r="G46">
        <v>56.8205115000018</v>
      </c>
      <c r="H46">
        <v>57.302976299950302</v>
      </c>
      <c r="I46">
        <v>57.302976299950302</v>
      </c>
      <c r="J46">
        <v>57.320026899978899</v>
      </c>
      <c r="K46">
        <v>57.603243899997302</v>
      </c>
      <c r="L46">
        <v>57.755025199963697</v>
      </c>
      <c r="M46" t="s">
        <v>25</v>
      </c>
      <c r="N46">
        <v>-15.5</v>
      </c>
      <c r="O46">
        <v>0</v>
      </c>
      <c r="P46">
        <v>0</v>
      </c>
      <c r="Q46">
        <v>0.45022870000684601</v>
      </c>
      <c r="R46">
        <v>514307</v>
      </c>
      <c r="S46">
        <v>1</v>
      </c>
      <c r="T46" t="s">
        <v>26</v>
      </c>
      <c r="U46" t="s">
        <v>27</v>
      </c>
      <c r="W46" t="s">
        <v>28</v>
      </c>
      <c r="X46">
        <v>59.725561029341698</v>
      </c>
      <c r="Y46" t="s">
        <v>29</v>
      </c>
    </row>
    <row r="47" spans="1:25" x14ac:dyDescent="0.3">
      <c r="A47">
        <v>45</v>
      </c>
      <c r="B47">
        <v>0.5</v>
      </c>
      <c r="C47">
        <v>16</v>
      </c>
      <c r="D47">
        <v>57.769778699963297</v>
      </c>
      <c r="F47">
        <v>57.755257699987801</v>
      </c>
      <c r="G47">
        <v>57.769778699963297</v>
      </c>
      <c r="H47">
        <v>58.2698649999802</v>
      </c>
      <c r="I47">
        <v>58.2698649999802</v>
      </c>
      <c r="J47">
        <v>58.2698649999802</v>
      </c>
      <c r="L47">
        <v>58.353306100005199</v>
      </c>
      <c r="M47" t="s">
        <v>25</v>
      </c>
      <c r="N47">
        <v>-16</v>
      </c>
      <c r="O47">
        <v>0</v>
      </c>
      <c r="P47">
        <v>0</v>
      </c>
      <c r="Q47">
        <v>7.4852999998256495E-2</v>
      </c>
      <c r="R47">
        <v>514307</v>
      </c>
      <c r="S47">
        <v>1</v>
      </c>
      <c r="T47" t="s">
        <v>26</v>
      </c>
      <c r="U47" t="s">
        <v>27</v>
      </c>
      <c r="W47" t="s">
        <v>28</v>
      </c>
      <c r="X47">
        <v>59.725561029341698</v>
      </c>
      <c r="Y47" t="s">
        <v>29</v>
      </c>
    </row>
    <row r="48" spans="1:25" x14ac:dyDescent="0.3">
      <c r="A48">
        <v>46</v>
      </c>
      <c r="B48">
        <v>0.5</v>
      </c>
      <c r="C48">
        <v>16.5</v>
      </c>
      <c r="D48">
        <v>58.369632099987903</v>
      </c>
      <c r="F48">
        <v>58.353468299959701</v>
      </c>
      <c r="G48">
        <v>58.369632099987903</v>
      </c>
      <c r="H48">
        <v>58.853185499959999</v>
      </c>
      <c r="I48">
        <v>58.853185499959999</v>
      </c>
      <c r="J48">
        <v>58.870342799986197</v>
      </c>
      <c r="L48">
        <v>58.886919299955402</v>
      </c>
      <c r="M48" t="s">
        <v>25</v>
      </c>
      <c r="N48">
        <v>-16.5</v>
      </c>
      <c r="O48">
        <v>1</v>
      </c>
      <c r="P48">
        <v>1</v>
      </c>
      <c r="Q48">
        <v>1.9442099961452099E-2</v>
      </c>
      <c r="R48">
        <v>514307</v>
      </c>
      <c r="S48">
        <v>1</v>
      </c>
      <c r="T48" t="s">
        <v>26</v>
      </c>
      <c r="U48" t="s">
        <v>27</v>
      </c>
      <c r="W48" t="s">
        <v>28</v>
      </c>
      <c r="X48">
        <v>59.725561029341698</v>
      </c>
      <c r="Y48" t="s">
        <v>29</v>
      </c>
    </row>
    <row r="49" spans="1:25" x14ac:dyDescent="0.3">
      <c r="A49">
        <v>47</v>
      </c>
      <c r="B49">
        <v>0.5</v>
      </c>
      <c r="C49">
        <v>16.5</v>
      </c>
      <c r="D49">
        <v>58.903484399954301</v>
      </c>
      <c r="F49">
        <v>58.887094299949197</v>
      </c>
      <c r="G49">
        <v>58.903484399954301</v>
      </c>
      <c r="H49">
        <v>59.386777499981598</v>
      </c>
      <c r="I49">
        <v>59.386777499981598</v>
      </c>
      <c r="J49">
        <v>59.403501899971097</v>
      </c>
      <c r="L49">
        <v>59.487279699998901</v>
      </c>
      <c r="M49" t="s">
        <v>25</v>
      </c>
      <c r="N49">
        <v>-16.5</v>
      </c>
      <c r="O49" s="1">
        <v>1</v>
      </c>
      <c r="P49">
        <v>1</v>
      </c>
      <c r="Q49">
        <v>8.8422100001480403E-2</v>
      </c>
      <c r="R49">
        <v>514307</v>
      </c>
      <c r="S49">
        <v>1</v>
      </c>
      <c r="T49" t="s">
        <v>26</v>
      </c>
      <c r="U49" t="s">
        <v>27</v>
      </c>
      <c r="W49" t="s">
        <v>28</v>
      </c>
      <c r="X49">
        <v>59.725561029341698</v>
      </c>
      <c r="Y49" t="s">
        <v>29</v>
      </c>
    </row>
    <row r="50" spans="1:25" x14ac:dyDescent="0.3">
      <c r="A50">
        <v>48</v>
      </c>
      <c r="B50">
        <v>0.5</v>
      </c>
      <c r="C50">
        <v>16.5</v>
      </c>
      <c r="D50">
        <v>59.503108699980601</v>
      </c>
      <c r="F50">
        <v>59.487406199972597</v>
      </c>
      <c r="G50">
        <v>59.503108699980601</v>
      </c>
      <c r="H50">
        <v>59.986520799982799</v>
      </c>
      <c r="I50">
        <v>59.986520799982799</v>
      </c>
      <c r="J50">
        <v>60.004183699958901</v>
      </c>
      <c r="K50">
        <v>60.286788899975299</v>
      </c>
      <c r="L50">
        <v>60.587930699985002</v>
      </c>
      <c r="M50" t="s">
        <v>30</v>
      </c>
      <c r="N50">
        <v>16.5</v>
      </c>
      <c r="O50" s="1">
        <v>0</v>
      </c>
      <c r="P50">
        <v>0</v>
      </c>
      <c r="Q50">
        <v>0.58716960001038299</v>
      </c>
      <c r="R50">
        <v>514307</v>
      </c>
      <c r="S50">
        <v>1</v>
      </c>
      <c r="T50" t="s">
        <v>26</v>
      </c>
      <c r="U50" t="s">
        <v>27</v>
      </c>
      <c r="W50" t="s">
        <v>28</v>
      </c>
      <c r="X50">
        <v>59.725561029341698</v>
      </c>
      <c r="Y50" t="s">
        <v>29</v>
      </c>
    </row>
    <row r="51" spans="1:25" x14ac:dyDescent="0.3">
      <c r="A51">
        <v>49</v>
      </c>
      <c r="B51">
        <v>0.5</v>
      </c>
      <c r="C51">
        <v>17</v>
      </c>
      <c r="D51">
        <v>60.603362399968297</v>
      </c>
      <c r="F51">
        <v>60.5881575999665</v>
      </c>
      <c r="G51">
        <v>60.603362399968297</v>
      </c>
      <c r="H51">
        <v>61.103512999950901</v>
      </c>
      <c r="I51">
        <v>61.103512999950901</v>
      </c>
      <c r="J51">
        <v>61.103512999950901</v>
      </c>
      <c r="K51">
        <v>61.4035733999917</v>
      </c>
      <c r="L51">
        <v>61.537943399976903</v>
      </c>
      <c r="M51" t="s">
        <v>25</v>
      </c>
      <c r="N51">
        <v>-17</v>
      </c>
      <c r="O51">
        <v>0</v>
      </c>
      <c r="P51">
        <v>0</v>
      </c>
      <c r="Q51">
        <v>0.42092760000377799</v>
      </c>
      <c r="R51">
        <v>514307</v>
      </c>
      <c r="S51">
        <v>1</v>
      </c>
      <c r="T51" t="s">
        <v>26</v>
      </c>
      <c r="U51" t="s">
        <v>27</v>
      </c>
      <c r="W51" t="s">
        <v>28</v>
      </c>
      <c r="X51">
        <v>59.725561029341698</v>
      </c>
      <c r="Y51" t="s">
        <v>29</v>
      </c>
    </row>
    <row r="52" spans="1:25" x14ac:dyDescent="0.3">
      <c r="A52">
        <v>50</v>
      </c>
      <c r="B52">
        <v>0.5</v>
      </c>
      <c r="C52">
        <v>17.5</v>
      </c>
      <c r="D52">
        <v>61.554139199957703</v>
      </c>
      <c r="F52">
        <v>61.538111299974801</v>
      </c>
      <c r="G52">
        <v>61.554139199957703</v>
      </c>
      <c r="H52">
        <v>62.036774199979803</v>
      </c>
      <c r="I52">
        <v>62.036774199979803</v>
      </c>
      <c r="J52">
        <v>62.053290199953999</v>
      </c>
      <c r="L52">
        <v>62.2533406000002</v>
      </c>
      <c r="M52" t="s">
        <v>30</v>
      </c>
      <c r="N52">
        <v>17.5</v>
      </c>
      <c r="O52">
        <v>1</v>
      </c>
      <c r="P52">
        <v>1</v>
      </c>
      <c r="Q52">
        <v>0.201618599996436</v>
      </c>
      <c r="R52">
        <v>514307</v>
      </c>
      <c r="S52">
        <v>1</v>
      </c>
      <c r="T52" t="s">
        <v>26</v>
      </c>
      <c r="U52" t="s">
        <v>27</v>
      </c>
      <c r="W52" t="s">
        <v>28</v>
      </c>
      <c r="X52">
        <v>59.725561029341698</v>
      </c>
      <c r="Y52" t="s">
        <v>29</v>
      </c>
    </row>
    <row r="53" spans="1:25" x14ac:dyDescent="0.3">
      <c r="A53">
        <v>51</v>
      </c>
      <c r="B53">
        <v>0.5</v>
      </c>
      <c r="C53">
        <v>17.5</v>
      </c>
      <c r="D53">
        <v>62.271305599948299</v>
      </c>
      <c r="F53">
        <v>62.253538999997502</v>
      </c>
      <c r="G53">
        <v>62.271305599948299</v>
      </c>
      <c r="H53">
        <v>62.753000799973897</v>
      </c>
      <c r="I53">
        <v>62.753000799973897</v>
      </c>
      <c r="J53">
        <v>62.786911999981299</v>
      </c>
      <c r="K53">
        <v>63.052759199985303</v>
      </c>
      <c r="L53">
        <v>63.037068799952898</v>
      </c>
      <c r="M53" t="s">
        <v>30</v>
      </c>
      <c r="N53">
        <v>17.5</v>
      </c>
      <c r="O53" s="1">
        <v>1</v>
      </c>
      <c r="P53">
        <v>1</v>
      </c>
      <c r="Q53">
        <v>0.27173140004742802</v>
      </c>
      <c r="R53">
        <v>514307</v>
      </c>
      <c r="S53">
        <v>1</v>
      </c>
      <c r="T53" t="s">
        <v>26</v>
      </c>
      <c r="U53" t="s">
        <v>27</v>
      </c>
      <c r="W53" t="s">
        <v>28</v>
      </c>
      <c r="X53">
        <v>59.725561029341698</v>
      </c>
      <c r="Y53" t="s">
        <v>29</v>
      </c>
    </row>
    <row r="54" spans="1:25" x14ac:dyDescent="0.3">
      <c r="A54">
        <v>52</v>
      </c>
      <c r="B54">
        <v>0.5</v>
      </c>
      <c r="C54">
        <v>17.5</v>
      </c>
      <c r="D54">
        <v>63.052759199985303</v>
      </c>
      <c r="F54">
        <v>63.037228600005598</v>
      </c>
      <c r="G54">
        <v>63.052759199985303</v>
      </c>
      <c r="H54">
        <v>63.537034799985101</v>
      </c>
      <c r="I54">
        <v>63.537034799985101</v>
      </c>
      <c r="J54">
        <v>63.5535871000029</v>
      </c>
      <c r="K54">
        <v>63.836880799965002</v>
      </c>
      <c r="L54">
        <v>63.988648099999402</v>
      </c>
      <c r="M54" t="s">
        <v>30</v>
      </c>
      <c r="N54">
        <v>17.5</v>
      </c>
      <c r="O54" s="1">
        <v>0</v>
      </c>
      <c r="P54">
        <v>0</v>
      </c>
      <c r="Q54">
        <v>0.44822319998638699</v>
      </c>
      <c r="R54">
        <v>514307</v>
      </c>
      <c r="S54">
        <v>1</v>
      </c>
      <c r="T54" t="s">
        <v>26</v>
      </c>
      <c r="U54" t="s">
        <v>27</v>
      </c>
      <c r="W54" t="s">
        <v>28</v>
      </c>
      <c r="X54">
        <v>59.725561029341698</v>
      </c>
      <c r="Y54" t="s">
        <v>29</v>
      </c>
    </row>
    <row r="55" spans="1:25" x14ac:dyDescent="0.3">
      <c r="A55">
        <v>53</v>
      </c>
      <c r="B55">
        <v>0.5</v>
      </c>
      <c r="C55">
        <v>18</v>
      </c>
      <c r="D55">
        <v>64.003371099999598</v>
      </c>
      <c r="F55">
        <v>63.9889214999857</v>
      </c>
      <c r="G55">
        <v>64.003371099999598</v>
      </c>
      <c r="H55">
        <v>64.503469499992207</v>
      </c>
      <c r="I55">
        <v>64.503469499992207</v>
      </c>
      <c r="J55">
        <v>64.503469499992207</v>
      </c>
      <c r="L55">
        <v>64.620604399999095</v>
      </c>
      <c r="M55" t="s">
        <v>25</v>
      </c>
      <c r="N55">
        <v>-18</v>
      </c>
      <c r="O55">
        <v>0</v>
      </c>
      <c r="P55">
        <v>0</v>
      </c>
      <c r="Q55">
        <v>0.10747970000375</v>
      </c>
      <c r="R55">
        <v>514307</v>
      </c>
      <c r="S55">
        <v>1</v>
      </c>
      <c r="T55" t="s">
        <v>26</v>
      </c>
      <c r="U55" t="s">
        <v>27</v>
      </c>
      <c r="W55" t="s">
        <v>28</v>
      </c>
      <c r="X55">
        <v>59.725561029341698</v>
      </c>
      <c r="Y55" t="s">
        <v>29</v>
      </c>
    </row>
    <row r="56" spans="1:25" x14ac:dyDescent="0.3">
      <c r="A56">
        <v>54</v>
      </c>
      <c r="B56">
        <v>0.5</v>
      </c>
      <c r="C56">
        <v>18.5</v>
      </c>
      <c r="D56">
        <v>64.636249499977495</v>
      </c>
      <c r="F56">
        <v>64.620823699980903</v>
      </c>
      <c r="G56">
        <v>64.636249499977495</v>
      </c>
      <c r="H56">
        <v>65.120882199960704</v>
      </c>
      <c r="I56">
        <v>65.120882199960704</v>
      </c>
      <c r="J56">
        <v>65.136280399979995</v>
      </c>
      <c r="L56">
        <v>65.170524499961104</v>
      </c>
      <c r="M56" t="s">
        <v>25</v>
      </c>
      <c r="N56">
        <v>-18.5</v>
      </c>
      <c r="O56">
        <v>0</v>
      </c>
      <c r="P56">
        <v>0</v>
      </c>
      <c r="Q56">
        <v>4.7441900009289301E-2</v>
      </c>
      <c r="R56">
        <v>514307</v>
      </c>
      <c r="S56">
        <v>1</v>
      </c>
      <c r="T56" t="s">
        <v>26</v>
      </c>
      <c r="U56" t="s">
        <v>27</v>
      </c>
      <c r="W56" t="s">
        <v>28</v>
      </c>
      <c r="X56">
        <v>59.725561029341698</v>
      </c>
      <c r="Y56" t="s">
        <v>29</v>
      </c>
    </row>
    <row r="57" spans="1:25" x14ac:dyDescent="0.3">
      <c r="A57">
        <v>55</v>
      </c>
      <c r="B57">
        <v>0.5</v>
      </c>
      <c r="C57">
        <v>19</v>
      </c>
      <c r="D57">
        <v>65.187196999962893</v>
      </c>
      <c r="F57">
        <v>65.170774900005199</v>
      </c>
      <c r="G57">
        <v>65.187196999962893</v>
      </c>
      <c r="H57">
        <v>65.670548299967706</v>
      </c>
      <c r="I57">
        <v>65.670548299967706</v>
      </c>
      <c r="J57">
        <v>65.686658299993695</v>
      </c>
      <c r="L57">
        <v>65.720640999963507</v>
      </c>
      <c r="M57" t="s">
        <v>30</v>
      </c>
      <c r="N57">
        <v>19</v>
      </c>
      <c r="O57">
        <v>1</v>
      </c>
      <c r="P57">
        <v>1</v>
      </c>
      <c r="Q57">
        <v>3.9073499967344098E-2</v>
      </c>
      <c r="R57">
        <v>514307</v>
      </c>
      <c r="S57">
        <v>1</v>
      </c>
      <c r="T57" t="s">
        <v>26</v>
      </c>
      <c r="U57" t="s">
        <v>27</v>
      </c>
      <c r="W57" t="s">
        <v>28</v>
      </c>
      <c r="X57">
        <v>59.725561029341698</v>
      </c>
      <c r="Y57" t="s">
        <v>29</v>
      </c>
    </row>
    <row r="58" spans="1:25" x14ac:dyDescent="0.3">
      <c r="A58">
        <v>56</v>
      </c>
      <c r="B58">
        <v>0.5</v>
      </c>
      <c r="C58">
        <v>19</v>
      </c>
      <c r="D58">
        <v>65.737453799985801</v>
      </c>
      <c r="F58">
        <v>65.720807000005095</v>
      </c>
      <c r="G58">
        <v>65.737453799985801</v>
      </c>
      <c r="H58">
        <v>66.220143999962602</v>
      </c>
      <c r="I58">
        <v>66.220143999962602</v>
      </c>
      <c r="J58">
        <v>66.236723699956201</v>
      </c>
      <c r="K58">
        <v>66.520590199972503</v>
      </c>
      <c r="L58">
        <v>66.853898299974304</v>
      </c>
      <c r="M58" t="s">
        <v>30</v>
      </c>
      <c r="N58">
        <v>19</v>
      </c>
      <c r="O58" s="1">
        <v>1</v>
      </c>
      <c r="P58">
        <v>1</v>
      </c>
      <c r="Q58">
        <v>0.63092229998437599</v>
      </c>
      <c r="R58">
        <v>514307</v>
      </c>
      <c r="S58">
        <v>1</v>
      </c>
      <c r="T58" t="s">
        <v>26</v>
      </c>
      <c r="U58" t="s">
        <v>27</v>
      </c>
      <c r="W58" t="s">
        <v>28</v>
      </c>
      <c r="X58">
        <v>59.725561029341698</v>
      </c>
      <c r="Y58" t="s">
        <v>29</v>
      </c>
    </row>
    <row r="59" spans="1:25" x14ac:dyDescent="0.3">
      <c r="A59">
        <v>57</v>
      </c>
      <c r="B59">
        <v>0.5</v>
      </c>
      <c r="C59">
        <v>19</v>
      </c>
      <c r="D59">
        <v>66.870400799962198</v>
      </c>
      <c r="F59">
        <v>66.854061299993106</v>
      </c>
      <c r="G59">
        <v>66.870400799962198</v>
      </c>
      <c r="H59">
        <v>67.370146200002594</v>
      </c>
      <c r="I59">
        <v>67.370146200002594</v>
      </c>
      <c r="J59">
        <v>67.370146200002594</v>
      </c>
      <c r="K59">
        <v>67.669678599981097</v>
      </c>
      <c r="L59">
        <v>67.786838200001498</v>
      </c>
      <c r="M59" t="s">
        <v>30</v>
      </c>
      <c r="N59">
        <v>19</v>
      </c>
      <c r="O59" s="1">
        <v>0</v>
      </c>
      <c r="P59">
        <v>0</v>
      </c>
      <c r="Q59">
        <v>0.400129499961622</v>
      </c>
      <c r="R59">
        <v>514307</v>
      </c>
      <c r="S59">
        <v>1</v>
      </c>
      <c r="T59" t="s">
        <v>26</v>
      </c>
      <c r="U59" t="s">
        <v>27</v>
      </c>
      <c r="W59" t="s">
        <v>28</v>
      </c>
      <c r="X59">
        <v>59.725561029341698</v>
      </c>
      <c r="Y59" t="s">
        <v>29</v>
      </c>
    </row>
    <row r="60" spans="1:25" x14ac:dyDescent="0.3">
      <c r="A60">
        <v>58</v>
      </c>
      <c r="B60">
        <v>0.5</v>
      </c>
      <c r="C60">
        <v>19.5</v>
      </c>
      <c r="D60">
        <v>67.803612699965001</v>
      </c>
      <c r="F60">
        <v>67.786985299957394</v>
      </c>
      <c r="G60">
        <v>67.803612699965001</v>
      </c>
      <c r="H60">
        <v>68.287053499952805</v>
      </c>
      <c r="I60">
        <v>68.287053499952805</v>
      </c>
      <c r="J60">
        <v>68.303532399993799</v>
      </c>
      <c r="K60">
        <v>68.586639599991003</v>
      </c>
      <c r="L60">
        <v>68.837015900004104</v>
      </c>
      <c r="M60" t="s">
        <v>30</v>
      </c>
      <c r="N60">
        <v>19.5</v>
      </c>
      <c r="O60">
        <v>0</v>
      </c>
      <c r="P60">
        <v>0</v>
      </c>
      <c r="Q60">
        <v>0.53804680000757799</v>
      </c>
      <c r="R60">
        <v>514307</v>
      </c>
      <c r="S60">
        <v>1</v>
      </c>
      <c r="T60" t="s">
        <v>26</v>
      </c>
      <c r="U60" t="s">
        <v>27</v>
      </c>
      <c r="W60" t="s">
        <v>28</v>
      </c>
      <c r="X60">
        <v>59.725561029341698</v>
      </c>
      <c r="Y60" t="s">
        <v>29</v>
      </c>
    </row>
    <row r="61" spans="1:25" x14ac:dyDescent="0.3">
      <c r="A61">
        <v>59</v>
      </c>
      <c r="B61">
        <v>0.5</v>
      </c>
      <c r="C61">
        <v>20</v>
      </c>
      <c r="D61">
        <v>68.853015300002795</v>
      </c>
      <c r="F61">
        <v>68.837186899967406</v>
      </c>
      <c r="G61">
        <v>68.853015300002795</v>
      </c>
      <c r="H61">
        <v>69.338387299969298</v>
      </c>
      <c r="I61">
        <v>69.338387299969298</v>
      </c>
      <c r="J61">
        <v>69.353098899999097</v>
      </c>
      <c r="K61">
        <v>69.653261300001702</v>
      </c>
      <c r="L61">
        <v>69.637418699974603</v>
      </c>
      <c r="M61" t="s">
        <v>25</v>
      </c>
      <c r="N61">
        <v>-20</v>
      </c>
      <c r="O61" s="1">
        <v>1</v>
      </c>
      <c r="P61">
        <v>1</v>
      </c>
      <c r="Q61">
        <v>0.28551590000279198</v>
      </c>
      <c r="R61">
        <v>514307</v>
      </c>
      <c r="S61">
        <v>1</v>
      </c>
      <c r="T61" t="s">
        <v>26</v>
      </c>
      <c r="U61" t="s">
        <v>27</v>
      </c>
      <c r="W61" t="s">
        <v>28</v>
      </c>
      <c r="X61">
        <v>59.725561029341698</v>
      </c>
      <c r="Y61" t="s">
        <v>29</v>
      </c>
    </row>
    <row r="62" spans="1:25" x14ac:dyDescent="0.3">
      <c r="A62">
        <v>60</v>
      </c>
      <c r="B62">
        <v>0.5</v>
      </c>
      <c r="C62">
        <v>20</v>
      </c>
      <c r="D62">
        <v>69.653261300001702</v>
      </c>
      <c r="F62">
        <v>69.637608999968506</v>
      </c>
      <c r="G62">
        <v>69.653261300001702</v>
      </c>
      <c r="H62">
        <v>70.136786599992703</v>
      </c>
      <c r="I62">
        <v>70.136786599992703</v>
      </c>
      <c r="J62">
        <v>70.153358699986697</v>
      </c>
      <c r="L62">
        <v>70.386999399983296</v>
      </c>
      <c r="M62" t="s">
        <v>30</v>
      </c>
      <c r="N62">
        <v>20</v>
      </c>
      <c r="O62" s="1">
        <v>0</v>
      </c>
      <c r="P62">
        <v>0</v>
      </c>
      <c r="Q62">
        <v>0.23320219997549399</v>
      </c>
      <c r="R62">
        <v>514307</v>
      </c>
      <c r="S62">
        <v>1</v>
      </c>
      <c r="T62" t="s">
        <v>26</v>
      </c>
      <c r="U62" t="s">
        <v>27</v>
      </c>
      <c r="W62" t="s">
        <v>28</v>
      </c>
      <c r="X62">
        <v>59.725561029341698</v>
      </c>
      <c r="Y62" t="s">
        <v>29</v>
      </c>
    </row>
    <row r="63" spans="1:25" x14ac:dyDescent="0.3">
      <c r="A63">
        <v>61</v>
      </c>
      <c r="B63">
        <v>0.5</v>
      </c>
      <c r="C63">
        <v>20</v>
      </c>
      <c r="D63">
        <v>70.403209999960296</v>
      </c>
      <c r="F63">
        <v>70.387174799980102</v>
      </c>
      <c r="G63">
        <v>70.403209999960296</v>
      </c>
      <c r="H63">
        <v>70.886887100001303</v>
      </c>
      <c r="I63">
        <v>70.886887100001303</v>
      </c>
      <c r="J63">
        <v>70.903259999991803</v>
      </c>
      <c r="L63">
        <v>70.937356199952703</v>
      </c>
      <c r="M63" t="s">
        <v>25</v>
      </c>
      <c r="N63">
        <v>-20</v>
      </c>
      <c r="O63">
        <v>0</v>
      </c>
      <c r="P63">
        <v>0</v>
      </c>
      <c r="Q63">
        <v>3.5340699949301703E-2</v>
      </c>
      <c r="R63">
        <v>514307</v>
      </c>
      <c r="S63">
        <v>1</v>
      </c>
      <c r="T63" t="s">
        <v>26</v>
      </c>
      <c r="U63" t="s">
        <v>27</v>
      </c>
      <c r="W63" t="s">
        <v>28</v>
      </c>
      <c r="X63">
        <v>59.725561029341698</v>
      </c>
      <c r="Y63" t="s">
        <v>29</v>
      </c>
    </row>
    <row r="64" spans="1:25" x14ac:dyDescent="0.3">
      <c r="A64">
        <v>62</v>
      </c>
      <c r="B64">
        <v>0.5</v>
      </c>
      <c r="C64">
        <v>20</v>
      </c>
      <c r="D64">
        <v>70.9531872999505</v>
      </c>
      <c r="F64">
        <v>70.937553399999103</v>
      </c>
      <c r="G64">
        <v>70.9531872999505</v>
      </c>
      <c r="H64">
        <v>71.437543499981899</v>
      </c>
      <c r="I64">
        <v>71.437543499981899</v>
      </c>
      <c r="J64">
        <v>71.453601999965002</v>
      </c>
      <c r="K64">
        <v>71.736444799986202</v>
      </c>
      <c r="L64">
        <v>71.736789199989204</v>
      </c>
      <c r="M64" t="s">
        <v>25</v>
      </c>
      <c r="N64">
        <v>-20</v>
      </c>
      <c r="O64">
        <v>0</v>
      </c>
      <c r="P64">
        <v>0</v>
      </c>
      <c r="Q64">
        <v>0.29710849997354599</v>
      </c>
      <c r="R64">
        <v>514307</v>
      </c>
      <c r="S64">
        <v>1</v>
      </c>
      <c r="T64" t="s">
        <v>26</v>
      </c>
      <c r="U64" t="s">
        <v>27</v>
      </c>
      <c r="W64" t="s">
        <v>28</v>
      </c>
      <c r="X64">
        <v>59.725561029341698</v>
      </c>
      <c r="Y64" t="s">
        <v>29</v>
      </c>
    </row>
    <row r="65" spans="1:25" x14ac:dyDescent="0.3">
      <c r="A65">
        <v>63</v>
      </c>
      <c r="B65">
        <v>0.5</v>
      </c>
      <c r="C65">
        <v>20</v>
      </c>
      <c r="D65">
        <v>71.753486400004405</v>
      </c>
      <c r="F65">
        <v>71.736927099991505</v>
      </c>
      <c r="G65">
        <v>71.753486400004405</v>
      </c>
      <c r="H65">
        <v>72.2367503999848</v>
      </c>
      <c r="I65">
        <v>72.2367503999848</v>
      </c>
      <c r="J65">
        <v>72.253951999999103</v>
      </c>
      <c r="K65">
        <v>72.537965999974404</v>
      </c>
      <c r="L65">
        <v>72.620701499981806</v>
      </c>
      <c r="M65" t="s">
        <v>30</v>
      </c>
      <c r="N65">
        <v>20</v>
      </c>
      <c r="O65">
        <v>1</v>
      </c>
      <c r="P65">
        <v>1</v>
      </c>
      <c r="Q65">
        <v>0.37394700001459502</v>
      </c>
      <c r="R65">
        <v>514307</v>
      </c>
      <c r="S65">
        <v>1</v>
      </c>
      <c r="T65" t="s">
        <v>26</v>
      </c>
      <c r="U65" t="s">
        <v>27</v>
      </c>
      <c r="W65" t="s">
        <v>28</v>
      </c>
      <c r="X65">
        <v>59.725561029341698</v>
      </c>
      <c r="Y65" t="s">
        <v>29</v>
      </c>
    </row>
    <row r="66" spans="1:25" x14ac:dyDescent="0.3">
      <c r="A66">
        <v>64</v>
      </c>
      <c r="B66">
        <v>0.5</v>
      </c>
      <c r="C66">
        <v>20</v>
      </c>
      <c r="D66">
        <v>72.636730599973802</v>
      </c>
      <c r="F66">
        <v>72.620869899983504</v>
      </c>
      <c r="G66">
        <v>72.636730599973802</v>
      </c>
      <c r="H66">
        <v>73.136583699961193</v>
      </c>
      <c r="I66">
        <v>73.136583699961193</v>
      </c>
      <c r="J66">
        <v>73.136583699961193</v>
      </c>
      <c r="K66">
        <v>73.4367060999502</v>
      </c>
      <c r="L66">
        <v>73.586793299997197</v>
      </c>
      <c r="M66" t="s">
        <v>30</v>
      </c>
      <c r="N66">
        <v>20</v>
      </c>
      <c r="O66" s="1">
        <v>1</v>
      </c>
      <c r="P66">
        <v>1</v>
      </c>
      <c r="Q66">
        <v>0.43524710001656702</v>
      </c>
      <c r="R66">
        <v>514307</v>
      </c>
      <c r="S66">
        <v>1</v>
      </c>
      <c r="T66" t="s">
        <v>26</v>
      </c>
      <c r="U66" t="s">
        <v>27</v>
      </c>
      <c r="W66" t="s">
        <v>28</v>
      </c>
      <c r="X66">
        <v>59.725561029341698</v>
      </c>
      <c r="Y66" t="s">
        <v>29</v>
      </c>
    </row>
    <row r="67" spans="1:25" x14ac:dyDescent="0.3">
      <c r="A67">
        <v>65</v>
      </c>
      <c r="B67">
        <v>0.5</v>
      </c>
      <c r="C67">
        <v>20</v>
      </c>
      <c r="D67">
        <v>73.603379999985904</v>
      </c>
      <c r="F67">
        <v>73.587083199992705</v>
      </c>
      <c r="G67">
        <v>73.603379999985904</v>
      </c>
      <c r="H67">
        <v>74.086466299951994</v>
      </c>
      <c r="I67">
        <v>74.086466299951994</v>
      </c>
      <c r="J67">
        <v>74.102867899986407</v>
      </c>
      <c r="K67">
        <v>74.386698799964506</v>
      </c>
      <c r="L67">
        <v>74.604354899958693</v>
      </c>
      <c r="M67" t="s">
        <v>25</v>
      </c>
      <c r="N67">
        <v>-20</v>
      </c>
      <c r="O67" s="1">
        <v>0</v>
      </c>
      <c r="P67">
        <v>0</v>
      </c>
      <c r="Q67">
        <v>0.50213239999720805</v>
      </c>
      <c r="R67">
        <v>514307</v>
      </c>
      <c r="S67">
        <v>1</v>
      </c>
      <c r="T67" t="s">
        <v>26</v>
      </c>
      <c r="U67" t="s">
        <v>27</v>
      </c>
      <c r="W67" t="s">
        <v>28</v>
      </c>
      <c r="X67">
        <v>59.725561029341698</v>
      </c>
      <c r="Y67" t="s">
        <v>29</v>
      </c>
    </row>
    <row r="68" spans="1:25" x14ac:dyDescent="0.3">
      <c r="A68">
        <v>66</v>
      </c>
      <c r="B68">
        <v>0.5</v>
      </c>
      <c r="C68">
        <v>20</v>
      </c>
      <c r="D68">
        <v>74.620049499964793</v>
      </c>
      <c r="F68">
        <v>74.604591299954294</v>
      </c>
      <c r="G68">
        <v>74.620049499964793</v>
      </c>
      <c r="H68">
        <v>75.103434399992693</v>
      </c>
      <c r="I68">
        <v>75.103434399992693</v>
      </c>
      <c r="J68">
        <v>75.119909899949505</v>
      </c>
      <c r="L68">
        <v>75.220799599948805</v>
      </c>
      <c r="M68" t="s">
        <v>30</v>
      </c>
      <c r="N68">
        <v>20</v>
      </c>
      <c r="O68">
        <v>1</v>
      </c>
      <c r="P68">
        <v>1</v>
      </c>
      <c r="Q68">
        <v>0.11199529998702901</v>
      </c>
      <c r="R68">
        <v>514307</v>
      </c>
      <c r="S68">
        <v>1</v>
      </c>
      <c r="T68" t="s">
        <v>26</v>
      </c>
      <c r="U68" t="s">
        <v>27</v>
      </c>
      <c r="W68" t="s">
        <v>28</v>
      </c>
      <c r="X68">
        <v>59.725561029341698</v>
      </c>
      <c r="Y68" t="s">
        <v>29</v>
      </c>
    </row>
    <row r="69" spans="1:25" x14ac:dyDescent="0.3">
      <c r="A69">
        <v>67</v>
      </c>
      <c r="B69">
        <v>0.5</v>
      </c>
      <c r="C69">
        <v>20</v>
      </c>
      <c r="D69">
        <v>75.236823399958595</v>
      </c>
      <c r="F69">
        <v>75.221082699950699</v>
      </c>
      <c r="G69">
        <v>75.236823399958595</v>
      </c>
      <c r="H69">
        <v>75.736510899965594</v>
      </c>
      <c r="I69">
        <v>75.736510899965594</v>
      </c>
      <c r="J69">
        <v>75.736510899965594</v>
      </c>
      <c r="K69">
        <v>76.035949899989603</v>
      </c>
      <c r="L69">
        <v>76.186588599986806</v>
      </c>
      <c r="M69" t="s">
        <v>30</v>
      </c>
      <c r="N69">
        <v>20</v>
      </c>
      <c r="O69" s="1">
        <v>1</v>
      </c>
      <c r="P69">
        <v>1</v>
      </c>
      <c r="Q69">
        <v>0.44399589998647498</v>
      </c>
      <c r="R69">
        <v>514307</v>
      </c>
      <c r="S69">
        <v>1</v>
      </c>
      <c r="T69" t="s">
        <v>26</v>
      </c>
      <c r="U69" t="s">
        <v>27</v>
      </c>
      <c r="W69" t="s">
        <v>28</v>
      </c>
      <c r="X69">
        <v>59.725561029341698</v>
      </c>
      <c r="Y69" t="s">
        <v>29</v>
      </c>
    </row>
    <row r="70" spans="1:25" x14ac:dyDescent="0.3">
      <c r="A70">
        <v>68</v>
      </c>
      <c r="B70">
        <v>0.5</v>
      </c>
      <c r="C70">
        <v>20</v>
      </c>
      <c r="D70">
        <v>76.203100299986502</v>
      </c>
      <c r="F70">
        <v>76.186774500005399</v>
      </c>
      <c r="G70">
        <v>76.203100299986502</v>
      </c>
      <c r="H70">
        <v>76.686102099949494</v>
      </c>
      <c r="I70">
        <v>76.686102099949494</v>
      </c>
      <c r="J70">
        <v>76.702904000005205</v>
      </c>
      <c r="L70">
        <v>76.769954499963205</v>
      </c>
      <c r="M70" t="s">
        <v>25</v>
      </c>
      <c r="N70">
        <v>-20</v>
      </c>
      <c r="O70" s="1">
        <v>0</v>
      </c>
      <c r="P70">
        <v>0</v>
      </c>
      <c r="Q70">
        <v>6.8141700001433395E-2</v>
      </c>
      <c r="R70">
        <v>514307</v>
      </c>
      <c r="S70">
        <v>1</v>
      </c>
      <c r="T70" t="s">
        <v>26</v>
      </c>
      <c r="U70" t="s">
        <v>27</v>
      </c>
      <c r="W70" t="s">
        <v>28</v>
      </c>
      <c r="X70">
        <v>59.725561029341698</v>
      </c>
      <c r="Y70" t="s">
        <v>29</v>
      </c>
    </row>
    <row r="71" spans="1:25" x14ac:dyDescent="0.3">
      <c r="A71">
        <v>69</v>
      </c>
      <c r="B71">
        <v>0.5</v>
      </c>
      <c r="C71">
        <v>20</v>
      </c>
      <c r="D71">
        <v>76.7863652999512</v>
      </c>
      <c r="F71">
        <v>76.770080699992803</v>
      </c>
      <c r="G71">
        <v>76.7863652999512</v>
      </c>
      <c r="H71">
        <v>77.269518499961094</v>
      </c>
      <c r="I71">
        <v>77.269518499961094</v>
      </c>
      <c r="J71">
        <v>77.286306299967606</v>
      </c>
      <c r="L71">
        <v>77.336660499975494</v>
      </c>
      <c r="M71" t="s">
        <v>25</v>
      </c>
      <c r="N71">
        <v>-20</v>
      </c>
      <c r="O71">
        <v>0</v>
      </c>
      <c r="P71">
        <v>0</v>
      </c>
      <c r="Q71">
        <v>6.2131400045473101E-2</v>
      </c>
      <c r="R71">
        <v>514307</v>
      </c>
      <c r="S71">
        <v>1</v>
      </c>
      <c r="T71" t="s">
        <v>26</v>
      </c>
      <c r="U71" t="s">
        <v>27</v>
      </c>
      <c r="W71" t="s">
        <v>28</v>
      </c>
      <c r="X71">
        <v>59.725561029341698</v>
      </c>
      <c r="Y71" t="s">
        <v>29</v>
      </c>
    </row>
    <row r="72" spans="1:25" x14ac:dyDescent="0.3">
      <c r="A72">
        <v>70</v>
      </c>
      <c r="B72">
        <v>0.5</v>
      </c>
      <c r="C72">
        <v>20</v>
      </c>
      <c r="D72">
        <v>77.352870799950296</v>
      </c>
      <c r="F72">
        <v>77.336797699972493</v>
      </c>
      <c r="G72">
        <v>77.352870799950296</v>
      </c>
      <c r="H72">
        <v>77.836190000001807</v>
      </c>
      <c r="I72">
        <v>77.836190000001807</v>
      </c>
      <c r="J72">
        <v>77.853007800003894</v>
      </c>
      <c r="L72">
        <v>77.986714200000193</v>
      </c>
      <c r="M72" t="s">
        <v>30</v>
      </c>
      <c r="N72">
        <v>20</v>
      </c>
      <c r="O72" s="1">
        <v>1</v>
      </c>
      <c r="P72">
        <v>1</v>
      </c>
      <c r="Q72">
        <v>0.143130100041162</v>
      </c>
      <c r="R72">
        <v>514307</v>
      </c>
      <c r="S72">
        <v>1</v>
      </c>
      <c r="T72" t="s">
        <v>26</v>
      </c>
      <c r="U72" t="s">
        <v>27</v>
      </c>
      <c r="W72" t="s">
        <v>28</v>
      </c>
      <c r="X72">
        <v>59.725561029341698</v>
      </c>
      <c r="Y72" t="s">
        <v>29</v>
      </c>
    </row>
    <row r="73" spans="1:25" x14ac:dyDescent="0.3">
      <c r="A73">
        <v>71</v>
      </c>
      <c r="B73">
        <v>0.5</v>
      </c>
      <c r="C73">
        <v>20</v>
      </c>
      <c r="D73">
        <v>78.002859999949493</v>
      </c>
      <c r="F73">
        <v>77.986910199979306</v>
      </c>
      <c r="G73">
        <v>78.002859999949493</v>
      </c>
      <c r="H73">
        <v>78.4868220000062</v>
      </c>
      <c r="I73">
        <v>78.4868220000062</v>
      </c>
      <c r="J73">
        <v>78.503735099977305</v>
      </c>
      <c r="L73">
        <v>78.687770699965697</v>
      </c>
      <c r="M73" t="s">
        <v>25</v>
      </c>
      <c r="N73">
        <v>-20</v>
      </c>
      <c r="O73" s="1">
        <v>0</v>
      </c>
      <c r="P73">
        <v>0</v>
      </c>
      <c r="Q73">
        <v>0.18575870001222899</v>
      </c>
      <c r="R73">
        <v>514307</v>
      </c>
      <c r="S73">
        <v>1</v>
      </c>
      <c r="T73" t="s">
        <v>26</v>
      </c>
      <c r="U73" t="s">
        <v>27</v>
      </c>
      <c r="W73" t="s">
        <v>28</v>
      </c>
      <c r="X73">
        <v>59.725561029341698</v>
      </c>
      <c r="Y73" t="s">
        <v>29</v>
      </c>
    </row>
    <row r="74" spans="1:25" x14ac:dyDescent="0.3">
      <c r="A74">
        <v>72</v>
      </c>
      <c r="B74">
        <v>0.5</v>
      </c>
      <c r="C74">
        <v>20</v>
      </c>
      <c r="D74">
        <v>78.703365599969402</v>
      </c>
      <c r="F74">
        <v>78.687952799955298</v>
      </c>
      <c r="G74">
        <v>78.703365599969402</v>
      </c>
      <c r="H74">
        <v>79.203630000003599</v>
      </c>
      <c r="I74">
        <v>79.203630000003599</v>
      </c>
      <c r="J74">
        <v>79.203630000003599</v>
      </c>
      <c r="L74">
        <v>79.219899199961205</v>
      </c>
      <c r="M74" t="s">
        <v>25</v>
      </c>
      <c r="N74">
        <v>-20</v>
      </c>
      <c r="O74">
        <v>0</v>
      </c>
      <c r="P74">
        <v>0</v>
      </c>
      <c r="Q74">
        <v>2.42149998666718E-3</v>
      </c>
      <c r="R74">
        <v>514307</v>
      </c>
      <c r="S74">
        <v>1</v>
      </c>
      <c r="T74" t="s">
        <v>26</v>
      </c>
      <c r="U74" t="s">
        <v>27</v>
      </c>
      <c r="W74" t="s">
        <v>28</v>
      </c>
      <c r="X74">
        <v>59.725561029341698</v>
      </c>
      <c r="Y74" t="s">
        <v>29</v>
      </c>
    </row>
    <row r="75" spans="1:25" x14ac:dyDescent="0.3">
      <c r="A75">
        <v>73</v>
      </c>
      <c r="B75">
        <v>0.5</v>
      </c>
      <c r="C75">
        <v>20</v>
      </c>
      <c r="D75">
        <v>79.236230599984907</v>
      </c>
      <c r="F75">
        <v>79.2200450999662</v>
      </c>
      <c r="G75">
        <v>79.236230599984907</v>
      </c>
      <c r="H75">
        <v>79.719692899961899</v>
      </c>
      <c r="I75">
        <v>79.719692899961899</v>
      </c>
      <c r="J75">
        <v>79.736183999979403</v>
      </c>
      <c r="L75">
        <v>79.819823400000999</v>
      </c>
      <c r="M75" t="s">
        <v>30</v>
      </c>
      <c r="N75">
        <v>20</v>
      </c>
      <c r="O75" s="1">
        <v>1</v>
      </c>
      <c r="P75">
        <v>1</v>
      </c>
      <c r="Q75">
        <v>9.0067299955990096E-2</v>
      </c>
      <c r="R75">
        <v>514307</v>
      </c>
      <c r="S75">
        <v>1</v>
      </c>
      <c r="T75" t="s">
        <v>26</v>
      </c>
      <c r="U75" t="s">
        <v>27</v>
      </c>
      <c r="W75" t="s">
        <v>28</v>
      </c>
      <c r="X75">
        <v>59.725561029341698</v>
      </c>
      <c r="Y75" t="s">
        <v>29</v>
      </c>
    </row>
    <row r="76" spans="1:25" x14ac:dyDescent="0.3">
      <c r="A76">
        <v>74</v>
      </c>
      <c r="B76">
        <v>0.5</v>
      </c>
      <c r="C76">
        <v>20</v>
      </c>
      <c r="D76">
        <v>79.836362399975698</v>
      </c>
      <c r="F76">
        <v>79.819970899959998</v>
      </c>
      <c r="G76">
        <v>79.836362399975698</v>
      </c>
      <c r="H76">
        <v>80.320041799975996</v>
      </c>
      <c r="I76">
        <v>80.320041799975996</v>
      </c>
      <c r="J76">
        <v>80.3368868999532</v>
      </c>
      <c r="K76">
        <v>80.619755999999995</v>
      </c>
      <c r="L76">
        <v>80.719930399965904</v>
      </c>
      <c r="M76" t="s">
        <v>25</v>
      </c>
      <c r="N76">
        <v>-20</v>
      </c>
      <c r="O76" s="1">
        <v>0</v>
      </c>
      <c r="P76">
        <v>0</v>
      </c>
      <c r="Q76">
        <v>0.39079940004739899</v>
      </c>
      <c r="R76">
        <v>514307</v>
      </c>
      <c r="S76">
        <v>1</v>
      </c>
      <c r="T76" t="s">
        <v>26</v>
      </c>
      <c r="U76" t="s">
        <v>27</v>
      </c>
      <c r="W76" t="s">
        <v>28</v>
      </c>
      <c r="X76">
        <v>59.725561029341698</v>
      </c>
      <c r="Y76" t="s">
        <v>29</v>
      </c>
    </row>
    <row r="77" spans="1:25" x14ac:dyDescent="0.3">
      <c r="A77">
        <v>75</v>
      </c>
      <c r="B77">
        <v>0.5</v>
      </c>
      <c r="C77">
        <v>20</v>
      </c>
      <c r="D77">
        <v>80.736250299960304</v>
      </c>
      <c r="F77">
        <v>80.720057500002397</v>
      </c>
      <c r="G77">
        <v>80.736250299960304</v>
      </c>
      <c r="H77">
        <v>81.220040199987096</v>
      </c>
      <c r="I77">
        <v>81.220040199987096</v>
      </c>
      <c r="J77">
        <v>81.236315699992701</v>
      </c>
      <c r="L77">
        <v>81.236770099960196</v>
      </c>
      <c r="M77" t="s">
        <v>30</v>
      </c>
      <c r="N77">
        <v>20</v>
      </c>
      <c r="O77">
        <v>1</v>
      </c>
      <c r="P77">
        <v>1</v>
      </c>
      <c r="Q77">
        <v>9.3786999932490202E-3</v>
      </c>
      <c r="R77">
        <v>514307</v>
      </c>
      <c r="S77">
        <v>1</v>
      </c>
      <c r="T77" t="s">
        <v>26</v>
      </c>
      <c r="U77" t="s">
        <v>27</v>
      </c>
      <c r="W77" t="s">
        <v>28</v>
      </c>
      <c r="X77">
        <v>59.725561029341698</v>
      </c>
      <c r="Y77" t="s">
        <v>29</v>
      </c>
    </row>
    <row r="78" spans="1:25" x14ac:dyDescent="0.3">
      <c r="A78">
        <v>76</v>
      </c>
      <c r="B78">
        <v>0.5</v>
      </c>
      <c r="C78">
        <v>20</v>
      </c>
      <c r="D78">
        <v>81.253838599950498</v>
      </c>
      <c r="F78">
        <v>81.236948999983696</v>
      </c>
      <c r="G78">
        <v>81.253838599950498</v>
      </c>
      <c r="H78">
        <v>81.736575199989602</v>
      </c>
      <c r="I78">
        <v>81.736575199989602</v>
      </c>
      <c r="J78">
        <v>81.753682099981205</v>
      </c>
      <c r="L78">
        <v>81.754110199981298</v>
      </c>
      <c r="M78" t="s">
        <v>30</v>
      </c>
      <c r="N78">
        <v>20</v>
      </c>
      <c r="O78">
        <v>1</v>
      </c>
      <c r="P78">
        <v>1</v>
      </c>
      <c r="Q78">
        <v>3.0315000331029201E-3</v>
      </c>
      <c r="R78">
        <v>514307</v>
      </c>
      <c r="S78">
        <v>1</v>
      </c>
      <c r="T78" t="s">
        <v>26</v>
      </c>
      <c r="U78" t="s">
        <v>27</v>
      </c>
      <c r="W78" t="s">
        <v>28</v>
      </c>
      <c r="X78">
        <v>59.725561029341698</v>
      </c>
      <c r="Y78" t="s">
        <v>29</v>
      </c>
    </row>
    <row r="79" spans="1:25" x14ac:dyDescent="0.3">
      <c r="A79">
        <v>77</v>
      </c>
      <c r="B79">
        <v>0.5</v>
      </c>
      <c r="C79">
        <v>20</v>
      </c>
      <c r="D79">
        <v>81.7702739999513</v>
      </c>
      <c r="F79">
        <v>81.754245199961503</v>
      </c>
      <c r="G79">
        <v>81.7702739999513</v>
      </c>
      <c r="H79">
        <v>82.253824099956503</v>
      </c>
      <c r="I79">
        <v>82.253824099956503</v>
      </c>
      <c r="J79">
        <v>82.270702499954496</v>
      </c>
      <c r="L79">
        <v>82.320611999952206</v>
      </c>
      <c r="M79" t="s">
        <v>30</v>
      </c>
      <c r="N79">
        <v>20</v>
      </c>
      <c r="O79">
        <v>1</v>
      </c>
      <c r="P79">
        <v>1</v>
      </c>
      <c r="Q79">
        <v>5.6550699984654701E-2</v>
      </c>
      <c r="R79">
        <v>514307</v>
      </c>
      <c r="S79">
        <v>1</v>
      </c>
      <c r="T79" t="s">
        <v>26</v>
      </c>
      <c r="U79" t="s">
        <v>27</v>
      </c>
      <c r="W79" t="s">
        <v>28</v>
      </c>
      <c r="X79">
        <v>59.725561029341698</v>
      </c>
      <c r="Y79" t="s">
        <v>29</v>
      </c>
    </row>
    <row r="80" spans="1:25" x14ac:dyDescent="0.3">
      <c r="A80">
        <v>78</v>
      </c>
      <c r="B80">
        <v>0.5</v>
      </c>
      <c r="C80">
        <v>19.5</v>
      </c>
      <c r="D80">
        <v>82.336746599990803</v>
      </c>
      <c r="F80">
        <v>82.320736699970396</v>
      </c>
      <c r="G80">
        <v>82.336746599990803</v>
      </c>
      <c r="H80">
        <v>82.8369496999657</v>
      </c>
      <c r="I80">
        <v>82.8369496999657</v>
      </c>
      <c r="J80">
        <v>82.8369496999657</v>
      </c>
      <c r="K80">
        <v>83.136049299966501</v>
      </c>
      <c r="L80">
        <v>83.254555099992999</v>
      </c>
      <c r="M80" t="s">
        <v>30</v>
      </c>
      <c r="N80">
        <v>19.5</v>
      </c>
      <c r="O80" s="1">
        <v>1</v>
      </c>
      <c r="P80">
        <v>1</v>
      </c>
      <c r="Q80">
        <v>0.40274679998401502</v>
      </c>
      <c r="R80">
        <v>514307</v>
      </c>
      <c r="S80">
        <v>1</v>
      </c>
      <c r="T80" t="s">
        <v>26</v>
      </c>
      <c r="U80" t="s">
        <v>27</v>
      </c>
      <c r="W80" t="s">
        <v>28</v>
      </c>
      <c r="X80">
        <v>59.725561029341698</v>
      </c>
      <c r="Y80" t="s">
        <v>29</v>
      </c>
    </row>
    <row r="81" spans="1:25" x14ac:dyDescent="0.3">
      <c r="A81">
        <v>79</v>
      </c>
      <c r="B81">
        <v>0.5</v>
      </c>
      <c r="C81">
        <v>19.5</v>
      </c>
      <c r="D81">
        <v>83.269648999965199</v>
      </c>
      <c r="F81">
        <v>83.254754499997901</v>
      </c>
      <c r="G81">
        <v>83.269648999965199</v>
      </c>
      <c r="H81">
        <v>83.770332699990803</v>
      </c>
      <c r="I81">
        <v>83.770332699990803</v>
      </c>
      <c r="J81">
        <v>83.770332699990803</v>
      </c>
      <c r="K81">
        <v>84.070447599980895</v>
      </c>
      <c r="L81">
        <v>84.123707099992302</v>
      </c>
      <c r="M81" t="s">
        <v>25</v>
      </c>
      <c r="N81">
        <v>-19.5</v>
      </c>
      <c r="O81" s="1">
        <v>0</v>
      </c>
      <c r="P81">
        <v>0</v>
      </c>
      <c r="Q81">
        <v>0.34540539997396902</v>
      </c>
      <c r="R81">
        <v>514307</v>
      </c>
      <c r="S81">
        <v>1</v>
      </c>
      <c r="T81" t="s">
        <v>26</v>
      </c>
      <c r="U81" t="s">
        <v>27</v>
      </c>
      <c r="W81" t="s">
        <v>28</v>
      </c>
      <c r="X81">
        <v>59.725561029341698</v>
      </c>
      <c r="Y81" t="s">
        <v>29</v>
      </c>
    </row>
    <row r="82" spans="1:25" x14ac:dyDescent="0.3">
      <c r="A82">
        <v>80</v>
      </c>
      <c r="B82">
        <v>0.5</v>
      </c>
      <c r="C82">
        <v>20</v>
      </c>
      <c r="D82">
        <v>84.136381599993896</v>
      </c>
      <c r="F82">
        <v>84.123898299993002</v>
      </c>
      <c r="G82">
        <v>84.136381599993896</v>
      </c>
      <c r="H82">
        <v>84.6367189000011</v>
      </c>
      <c r="I82">
        <v>84.6367189000011</v>
      </c>
      <c r="J82">
        <v>84.6367189000011</v>
      </c>
      <c r="K82">
        <v>84.937023799982796</v>
      </c>
      <c r="L82">
        <v>85.053847499948404</v>
      </c>
      <c r="M82" t="s">
        <v>25</v>
      </c>
      <c r="N82">
        <v>-20</v>
      </c>
      <c r="O82">
        <v>0</v>
      </c>
      <c r="P82">
        <v>0</v>
      </c>
      <c r="Q82">
        <v>0.41630520002217902</v>
      </c>
      <c r="R82">
        <v>514307</v>
      </c>
      <c r="S82">
        <v>1</v>
      </c>
      <c r="T82" t="s">
        <v>26</v>
      </c>
      <c r="U82" t="s">
        <v>27</v>
      </c>
      <c r="W82" t="s">
        <v>28</v>
      </c>
      <c r="X82">
        <v>59.725561029341698</v>
      </c>
      <c r="Y82" t="s">
        <v>29</v>
      </c>
    </row>
    <row r="83" spans="1:25" x14ac:dyDescent="0.3">
      <c r="A83">
        <v>81</v>
      </c>
      <c r="B83">
        <v>0.5</v>
      </c>
      <c r="C83">
        <v>20</v>
      </c>
      <c r="D83">
        <v>85.069814599992199</v>
      </c>
      <c r="F83">
        <v>85.053997199982405</v>
      </c>
      <c r="G83">
        <v>85.069814599992199</v>
      </c>
      <c r="H83">
        <v>85.553453199972793</v>
      </c>
      <c r="I83">
        <v>85.553453199972793</v>
      </c>
      <c r="J83">
        <v>85.570015499950301</v>
      </c>
      <c r="L83">
        <v>85.570474399952204</v>
      </c>
      <c r="M83" t="s">
        <v>30</v>
      </c>
      <c r="N83">
        <v>20</v>
      </c>
      <c r="O83">
        <v>1</v>
      </c>
      <c r="P83">
        <v>1</v>
      </c>
      <c r="Q83">
        <v>1.32239000522531E-2</v>
      </c>
      <c r="R83">
        <v>514307</v>
      </c>
      <c r="S83">
        <v>1</v>
      </c>
      <c r="T83" t="s">
        <v>26</v>
      </c>
      <c r="U83" t="s">
        <v>27</v>
      </c>
      <c r="W83" t="s">
        <v>28</v>
      </c>
      <c r="X83">
        <v>59.725561029341698</v>
      </c>
      <c r="Y83" t="s">
        <v>29</v>
      </c>
    </row>
    <row r="84" spans="1:25" x14ac:dyDescent="0.3">
      <c r="A84">
        <v>82</v>
      </c>
      <c r="B84">
        <v>0.5</v>
      </c>
      <c r="C84">
        <v>20</v>
      </c>
      <c r="D84">
        <v>85.586766499967695</v>
      </c>
      <c r="F84">
        <v>85.570699799980503</v>
      </c>
      <c r="G84">
        <v>85.586766499967695</v>
      </c>
      <c r="H84">
        <v>86.069738099991795</v>
      </c>
      <c r="I84">
        <v>86.069738099991795</v>
      </c>
      <c r="J84">
        <v>86.087379199976496</v>
      </c>
      <c r="K84">
        <v>86.369937099981996</v>
      </c>
      <c r="L84">
        <v>86.503204699954907</v>
      </c>
      <c r="M84" t="s">
        <v>30</v>
      </c>
      <c r="N84">
        <v>20</v>
      </c>
      <c r="O84" s="1">
        <v>1</v>
      </c>
      <c r="P84">
        <v>1</v>
      </c>
      <c r="Q84">
        <v>0.42206680000526797</v>
      </c>
      <c r="R84">
        <v>514307</v>
      </c>
      <c r="S84">
        <v>1</v>
      </c>
      <c r="T84" t="s">
        <v>26</v>
      </c>
      <c r="U84" t="s">
        <v>27</v>
      </c>
      <c r="W84" t="s">
        <v>28</v>
      </c>
      <c r="X84">
        <v>59.725561029341698</v>
      </c>
      <c r="Y84" t="s">
        <v>29</v>
      </c>
    </row>
    <row r="85" spans="1:25" x14ac:dyDescent="0.3">
      <c r="A85">
        <v>83</v>
      </c>
      <c r="B85">
        <v>0.5</v>
      </c>
      <c r="C85">
        <v>20</v>
      </c>
      <c r="D85">
        <v>86.520706099981894</v>
      </c>
      <c r="F85">
        <v>86.503368199977501</v>
      </c>
      <c r="G85">
        <v>86.520706099981894</v>
      </c>
      <c r="H85">
        <v>87.003040999988997</v>
      </c>
      <c r="I85">
        <v>87.003040999988997</v>
      </c>
      <c r="J85">
        <v>87.020501999999397</v>
      </c>
      <c r="K85">
        <v>87.304482599953104</v>
      </c>
      <c r="L85">
        <v>87.320295299985403</v>
      </c>
      <c r="M85" t="s">
        <v>30</v>
      </c>
      <c r="N85">
        <v>20</v>
      </c>
      <c r="O85" s="1">
        <v>0</v>
      </c>
      <c r="P85">
        <v>0</v>
      </c>
      <c r="Q85">
        <v>0.30797110003186301</v>
      </c>
      <c r="R85">
        <v>514307</v>
      </c>
      <c r="S85">
        <v>1</v>
      </c>
      <c r="T85" t="s">
        <v>26</v>
      </c>
      <c r="U85" t="s">
        <v>27</v>
      </c>
      <c r="W85" t="s">
        <v>28</v>
      </c>
      <c r="X85">
        <v>59.725561029341698</v>
      </c>
      <c r="Y85" t="s">
        <v>29</v>
      </c>
    </row>
    <row r="86" spans="1:25" x14ac:dyDescent="0.3">
      <c r="A86">
        <v>84</v>
      </c>
      <c r="B86">
        <v>0.5</v>
      </c>
      <c r="C86">
        <v>20</v>
      </c>
      <c r="D86">
        <v>87.336001699964896</v>
      </c>
      <c r="F86">
        <v>87.320484599971607</v>
      </c>
      <c r="G86">
        <v>87.336001699964896</v>
      </c>
      <c r="H86">
        <v>87.820071699970796</v>
      </c>
      <c r="I86">
        <v>87.820071699970796</v>
      </c>
      <c r="J86">
        <v>87.836684099980602</v>
      </c>
      <c r="L86">
        <v>87.971222399966706</v>
      </c>
      <c r="M86" t="s">
        <v>25</v>
      </c>
      <c r="N86">
        <v>-20</v>
      </c>
      <c r="O86">
        <v>0</v>
      </c>
      <c r="P86">
        <v>0</v>
      </c>
      <c r="Q86">
        <v>0.14100549998693099</v>
      </c>
      <c r="R86">
        <v>514307</v>
      </c>
      <c r="S86">
        <v>1</v>
      </c>
      <c r="T86" t="s">
        <v>26</v>
      </c>
      <c r="U86" t="s">
        <v>27</v>
      </c>
      <c r="W86" t="s">
        <v>28</v>
      </c>
      <c r="X86">
        <v>59.725561029341698</v>
      </c>
      <c r="Y86" t="s">
        <v>29</v>
      </c>
    </row>
    <row r="87" spans="1:25" x14ac:dyDescent="0.3">
      <c r="A87">
        <v>85</v>
      </c>
      <c r="B87">
        <v>0.5</v>
      </c>
      <c r="C87">
        <v>20</v>
      </c>
      <c r="D87">
        <v>87.986421099980305</v>
      </c>
      <c r="F87">
        <v>87.971362399984997</v>
      </c>
      <c r="G87">
        <v>87.986421099980305</v>
      </c>
      <c r="H87">
        <v>88.486551999987498</v>
      </c>
      <c r="I87">
        <v>88.486551999987498</v>
      </c>
      <c r="J87">
        <v>88.486551999987498</v>
      </c>
      <c r="K87">
        <v>88.786609100003204</v>
      </c>
      <c r="L87">
        <v>89.053540799999595</v>
      </c>
      <c r="M87" t="s">
        <v>30</v>
      </c>
      <c r="N87">
        <v>20</v>
      </c>
      <c r="O87" s="1">
        <v>1</v>
      </c>
      <c r="P87">
        <v>1</v>
      </c>
      <c r="Q87">
        <v>0.56088490004185498</v>
      </c>
      <c r="R87">
        <v>514307</v>
      </c>
      <c r="S87">
        <v>1</v>
      </c>
      <c r="T87" t="s">
        <v>26</v>
      </c>
      <c r="U87" t="s">
        <v>27</v>
      </c>
      <c r="W87" t="s">
        <v>28</v>
      </c>
      <c r="X87">
        <v>59.725561029341698</v>
      </c>
      <c r="Y87" t="s">
        <v>29</v>
      </c>
    </row>
    <row r="88" spans="1:25" x14ac:dyDescent="0.3">
      <c r="A88">
        <v>86</v>
      </c>
      <c r="B88">
        <v>0.5</v>
      </c>
      <c r="C88">
        <v>20</v>
      </c>
      <c r="D88">
        <v>89.069486099993796</v>
      </c>
      <c r="F88">
        <v>89.053667899977796</v>
      </c>
      <c r="G88">
        <v>89.069486099993796</v>
      </c>
      <c r="H88">
        <v>89.553525399998705</v>
      </c>
      <c r="I88">
        <v>89.553525399998705</v>
      </c>
      <c r="J88">
        <v>89.570025199965997</v>
      </c>
      <c r="L88">
        <v>89.570569699979302</v>
      </c>
      <c r="M88" t="s">
        <v>25</v>
      </c>
      <c r="N88">
        <v>-20</v>
      </c>
      <c r="O88" s="1">
        <v>0</v>
      </c>
      <c r="P88">
        <v>0</v>
      </c>
      <c r="Q88">
        <v>5.4329994600266197E-4</v>
      </c>
      <c r="R88">
        <v>514307</v>
      </c>
      <c r="S88">
        <v>1</v>
      </c>
      <c r="T88" t="s">
        <v>26</v>
      </c>
      <c r="U88" t="s">
        <v>27</v>
      </c>
      <c r="W88" t="s">
        <v>28</v>
      </c>
      <c r="X88">
        <v>59.725561029341698</v>
      </c>
      <c r="Y88" t="s">
        <v>29</v>
      </c>
    </row>
    <row r="89" spans="1:25" x14ac:dyDescent="0.3">
      <c r="A89">
        <v>87</v>
      </c>
      <c r="B89">
        <v>0.5</v>
      </c>
      <c r="C89">
        <v>20</v>
      </c>
      <c r="D89">
        <v>89.586101799970393</v>
      </c>
      <c r="F89">
        <v>89.570792399987099</v>
      </c>
      <c r="G89">
        <v>89.586101799970393</v>
      </c>
      <c r="H89">
        <v>90.070307999965706</v>
      </c>
      <c r="I89">
        <v>90.070307999965706</v>
      </c>
      <c r="J89">
        <v>90.087140199961098</v>
      </c>
      <c r="L89">
        <v>90.287376699969101</v>
      </c>
      <c r="M89" t="s">
        <v>30</v>
      </c>
      <c r="N89">
        <v>20</v>
      </c>
      <c r="O89">
        <v>1</v>
      </c>
      <c r="P89">
        <v>1</v>
      </c>
      <c r="Q89">
        <v>0.20506539999041701</v>
      </c>
      <c r="R89">
        <v>514307</v>
      </c>
      <c r="S89">
        <v>1</v>
      </c>
      <c r="T89" t="s">
        <v>26</v>
      </c>
      <c r="U89" t="s">
        <v>27</v>
      </c>
      <c r="W89" t="s">
        <v>28</v>
      </c>
      <c r="X89">
        <v>59.725561029341698</v>
      </c>
      <c r="Y89" t="s">
        <v>29</v>
      </c>
    </row>
    <row r="90" spans="1:25" x14ac:dyDescent="0.3">
      <c r="A90">
        <v>88</v>
      </c>
      <c r="B90">
        <v>0.5</v>
      </c>
      <c r="C90">
        <v>20</v>
      </c>
      <c r="D90">
        <v>90.302960500004701</v>
      </c>
      <c r="F90">
        <v>90.287556800001695</v>
      </c>
      <c r="G90">
        <v>90.302960500004701</v>
      </c>
      <c r="H90">
        <v>90.786852599994702</v>
      </c>
      <c r="I90">
        <v>90.786852599994702</v>
      </c>
      <c r="J90">
        <v>90.802941099973395</v>
      </c>
      <c r="L90">
        <v>90.854172499966793</v>
      </c>
      <c r="M90" t="s">
        <v>30</v>
      </c>
      <c r="N90">
        <v>20</v>
      </c>
      <c r="O90" s="1">
        <v>1</v>
      </c>
      <c r="P90">
        <v>1</v>
      </c>
      <c r="Q90">
        <v>5.27896000421606E-2</v>
      </c>
      <c r="R90">
        <v>514307</v>
      </c>
      <c r="S90">
        <v>1</v>
      </c>
      <c r="T90" t="s">
        <v>26</v>
      </c>
      <c r="U90" t="s">
        <v>27</v>
      </c>
      <c r="W90" t="s">
        <v>28</v>
      </c>
      <c r="X90">
        <v>59.725561029341698</v>
      </c>
      <c r="Y90" t="s">
        <v>29</v>
      </c>
    </row>
    <row r="91" spans="1:25" x14ac:dyDescent="0.3">
      <c r="A91">
        <v>89</v>
      </c>
      <c r="B91">
        <v>0.5</v>
      </c>
      <c r="C91">
        <v>20</v>
      </c>
      <c r="D91">
        <v>90.870839099981794</v>
      </c>
      <c r="F91">
        <v>90.854335299984001</v>
      </c>
      <c r="G91">
        <v>90.870839099981794</v>
      </c>
      <c r="H91">
        <v>91.353455299977199</v>
      </c>
      <c r="I91">
        <v>91.353455299977199</v>
      </c>
      <c r="J91">
        <v>91.369753199978703</v>
      </c>
      <c r="K91">
        <v>91.654229099978593</v>
      </c>
      <c r="L91">
        <v>91.870256099966298</v>
      </c>
      <c r="M91" t="s">
        <v>25</v>
      </c>
      <c r="N91">
        <v>-20</v>
      </c>
      <c r="O91" s="1">
        <v>0</v>
      </c>
      <c r="P91">
        <v>0</v>
      </c>
      <c r="Q91">
        <v>0.50296859996160403</v>
      </c>
      <c r="R91">
        <v>514307</v>
      </c>
      <c r="S91">
        <v>1</v>
      </c>
      <c r="T91" t="s">
        <v>26</v>
      </c>
      <c r="U91" t="s">
        <v>27</v>
      </c>
      <c r="W91" t="s">
        <v>28</v>
      </c>
      <c r="X91">
        <v>59.725561029341698</v>
      </c>
      <c r="Y91" t="s">
        <v>29</v>
      </c>
    </row>
    <row r="92" spans="1:25" x14ac:dyDescent="0.3">
      <c r="A92">
        <v>90</v>
      </c>
      <c r="B92">
        <v>0.5</v>
      </c>
      <c r="C92">
        <v>20</v>
      </c>
      <c r="D92">
        <v>91.886150399979599</v>
      </c>
      <c r="F92">
        <v>91.870434599986694</v>
      </c>
      <c r="G92">
        <v>91.886150399979599</v>
      </c>
      <c r="H92">
        <v>92.369864799955394</v>
      </c>
      <c r="I92">
        <v>92.369864799955394</v>
      </c>
      <c r="J92">
        <v>92.386352600005907</v>
      </c>
      <c r="K92">
        <v>92.669336699997004</v>
      </c>
      <c r="L92">
        <v>92.853745499975005</v>
      </c>
      <c r="M92" t="s">
        <v>30</v>
      </c>
      <c r="N92">
        <v>20</v>
      </c>
      <c r="O92">
        <v>1</v>
      </c>
      <c r="P92">
        <v>1</v>
      </c>
      <c r="Q92">
        <v>0.47676970000611602</v>
      </c>
      <c r="R92">
        <v>514307</v>
      </c>
      <c r="S92">
        <v>1</v>
      </c>
      <c r="T92" t="s">
        <v>26</v>
      </c>
      <c r="U92" t="s">
        <v>27</v>
      </c>
      <c r="W92" t="s">
        <v>28</v>
      </c>
      <c r="X92">
        <v>59.725561029341698</v>
      </c>
      <c r="Y92" t="s">
        <v>29</v>
      </c>
    </row>
    <row r="93" spans="1:25" x14ac:dyDescent="0.3">
      <c r="A93">
        <v>91</v>
      </c>
      <c r="B93">
        <v>0.5</v>
      </c>
      <c r="C93">
        <v>20</v>
      </c>
      <c r="D93">
        <v>92.869365999998905</v>
      </c>
      <c r="F93">
        <v>92.853928199969204</v>
      </c>
      <c r="G93">
        <v>92.869365999998905</v>
      </c>
      <c r="H93">
        <v>93.353567199956103</v>
      </c>
      <c r="I93">
        <v>93.353567199956103</v>
      </c>
      <c r="J93">
        <v>93.370071299956095</v>
      </c>
      <c r="K93">
        <v>93.654131799994502</v>
      </c>
      <c r="L93">
        <v>94.455334199999896</v>
      </c>
      <c r="M93" t="s">
        <v>25</v>
      </c>
      <c r="N93">
        <v>-20</v>
      </c>
      <c r="O93" s="1">
        <v>1</v>
      </c>
      <c r="P93">
        <v>1</v>
      </c>
      <c r="Q93">
        <v>1.0999994999728999</v>
      </c>
      <c r="R93">
        <v>514307</v>
      </c>
      <c r="S93">
        <v>1</v>
      </c>
      <c r="T93" t="s">
        <v>26</v>
      </c>
      <c r="U93" t="s">
        <v>27</v>
      </c>
      <c r="W93" t="s">
        <v>28</v>
      </c>
      <c r="X93">
        <v>59.725561029341698</v>
      </c>
      <c r="Y93" t="s">
        <v>29</v>
      </c>
    </row>
    <row r="94" spans="1:25" x14ac:dyDescent="0.3">
      <c r="A94">
        <v>92</v>
      </c>
      <c r="B94">
        <v>0.5</v>
      </c>
      <c r="C94">
        <v>20</v>
      </c>
      <c r="D94">
        <v>94.469933399988804</v>
      </c>
      <c r="F94">
        <v>94.455612999969105</v>
      </c>
      <c r="G94">
        <v>94.469933399988804</v>
      </c>
      <c r="H94">
        <v>94.970692400005603</v>
      </c>
      <c r="I94">
        <v>94.970692400005603</v>
      </c>
      <c r="J94">
        <v>94.970692400005603</v>
      </c>
      <c r="L94">
        <v>95.103641599998795</v>
      </c>
      <c r="M94" t="s">
        <v>25</v>
      </c>
      <c r="N94">
        <v>-20</v>
      </c>
      <c r="O94" s="1">
        <v>0</v>
      </c>
      <c r="P94">
        <v>0</v>
      </c>
      <c r="Q94">
        <v>0.12924969999585301</v>
      </c>
      <c r="R94">
        <v>514307</v>
      </c>
      <c r="S94">
        <v>1</v>
      </c>
      <c r="T94" t="s">
        <v>26</v>
      </c>
      <c r="U94" t="s">
        <v>27</v>
      </c>
      <c r="W94" t="s">
        <v>28</v>
      </c>
      <c r="X94">
        <v>59.725561029341698</v>
      </c>
      <c r="Y94" t="s">
        <v>29</v>
      </c>
    </row>
    <row r="95" spans="1:25" x14ac:dyDescent="0.3">
      <c r="A95">
        <v>93</v>
      </c>
      <c r="B95">
        <v>0.5</v>
      </c>
      <c r="C95">
        <v>20</v>
      </c>
      <c r="D95">
        <v>95.120196499978107</v>
      </c>
      <c r="F95">
        <v>95.103778999997303</v>
      </c>
      <c r="G95">
        <v>95.120196499978107</v>
      </c>
      <c r="H95">
        <v>95.6031921999529</v>
      </c>
      <c r="I95">
        <v>95.6031921999529</v>
      </c>
      <c r="J95">
        <v>95.619940999953499</v>
      </c>
      <c r="L95">
        <v>95.7368156999582</v>
      </c>
      <c r="M95" t="s">
        <v>30</v>
      </c>
      <c r="N95">
        <v>20</v>
      </c>
      <c r="O95">
        <v>1</v>
      </c>
      <c r="P95">
        <v>1</v>
      </c>
      <c r="Q95">
        <v>0.13291330001084101</v>
      </c>
      <c r="R95">
        <v>514307</v>
      </c>
      <c r="S95">
        <v>1</v>
      </c>
      <c r="T95" t="s">
        <v>26</v>
      </c>
      <c r="U95" t="s">
        <v>27</v>
      </c>
      <c r="W95" t="s">
        <v>28</v>
      </c>
      <c r="X95">
        <v>59.725561029341698</v>
      </c>
      <c r="Y95" t="s">
        <v>29</v>
      </c>
    </row>
    <row r="96" spans="1:25" x14ac:dyDescent="0.3">
      <c r="A96">
        <v>94</v>
      </c>
      <c r="B96">
        <v>0.5</v>
      </c>
      <c r="C96">
        <v>20</v>
      </c>
      <c r="D96">
        <v>95.7541957999928</v>
      </c>
      <c r="F96">
        <v>95.736940699978703</v>
      </c>
      <c r="G96">
        <v>95.7541957999928</v>
      </c>
      <c r="H96">
        <v>96.237069199967607</v>
      </c>
      <c r="I96">
        <v>96.237069199967607</v>
      </c>
      <c r="J96">
        <v>96.253493700001798</v>
      </c>
      <c r="K96">
        <v>96.537614899978493</v>
      </c>
      <c r="L96">
        <v>96.820212499995193</v>
      </c>
      <c r="M96" t="s">
        <v>30</v>
      </c>
      <c r="N96">
        <v>20</v>
      </c>
      <c r="O96" s="1">
        <v>1</v>
      </c>
      <c r="P96">
        <v>1</v>
      </c>
      <c r="Q96">
        <v>0.56820379995042403</v>
      </c>
      <c r="R96">
        <v>514307</v>
      </c>
      <c r="S96">
        <v>1</v>
      </c>
      <c r="T96" t="s">
        <v>26</v>
      </c>
      <c r="U96" t="s">
        <v>27</v>
      </c>
      <c r="W96" t="s">
        <v>28</v>
      </c>
      <c r="X96">
        <v>59.725561029341698</v>
      </c>
      <c r="Y96" t="s">
        <v>29</v>
      </c>
    </row>
    <row r="97" spans="1:25" x14ac:dyDescent="0.3">
      <c r="A97">
        <v>95</v>
      </c>
      <c r="B97">
        <v>0.5</v>
      </c>
      <c r="C97">
        <v>20</v>
      </c>
      <c r="D97">
        <v>96.836180799989904</v>
      </c>
      <c r="F97">
        <v>96.820341099984901</v>
      </c>
      <c r="G97">
        <v>96.836180799989904</v>
      </c>
      <c r="H97">
        <v>97.319754199997902</v>
      </c>
      <c r="I97">
        <v>97.319754199997902</v>
      </c>
      <c r="J97">
        <v>97.336513199959796</v>
      </c>
      <c r="L97">
        <v>97.420380999974398</v>
      </c>
      <c r="M97" t="s">
        <v>25</v>
      </c>
      <c r="N97">
        <v>-20</v>
      </c>
      <c r="O97" s="1">
        <v>0</v>
      </c>
      <c r="P97">
        <v>0</v>
      </c>
      <c r="Q97">
        <v>8.5968500003218595E-2</v>
      </c>
      <c r="R97">
        <v>514307</v>
      </c>
      <c r="S97">
        <v>1</v>
      </c>
      <c r="T97" t="s">
        <v>26</v>
      </c>
      <c r="U97" t="s">
        <v>27</v>
      </c>
      <c r="W97" t="s">
        <v>28</v>
      </c>
      <c r="X97">
        <v>59.725561029341698</v>
      </c>
      <c r="Y97" t="s">
        <v>29</v>
      </c>
    </row>
    <row r="98" spans="1:25" x14ac:dyDescent="0.3">
      <c r="A98">
        <v>96</v>
      </c>
      <c r="B98">
        <v>0.5</v>
      </c>
      <c r="C98">
        <v>20</v>
      </c>
      <c r="D98">
        <v>97.4367457999615</v>
      </c>
      <c r="F98">
        <v>97.420519099978193</v>
      </c>
      <c r="G98">
        <v>97.4367457999615</v>
      </c>
      <c r="H98">
        <v>97.919383200001903</v>
      </c>
      <c r="I98">
        <v>97.919383200001903</v>
      </c>
      <c r="J98">
        <v>97.937549499969407</v>
      </c>
      <c r="L98">
        <v>97.953838699962901</v>
      </c>
      <c r="M98" t="s">
        <v>30</v>
      </c>
      <c r="N98">
        <v>20</v>
      </c>
      <c r="O98" s="1">
        <v>1</v>
      </c>
      <c r="P98">
        <v>1</v>
      </c>
      <c r="Q98">
        <v>1.8756499979645E-2</v>
      </c>
      <c r="R98">
        <v>514307</v>
      </c>
      <c r="S98">
        <v>1</v>
      </c>
      <c r="T98" t="s">
        <v>26</v>
      </c>
      <c r="U98" t="s">
        <v>27</v>
      </c>
      <c r="W98" t="s">
        <v>28</v>
      </c>
      <c r="X98">
        <v>59.725561029341698</v>
      </c>
      <c r="Y98" t="s">
        <v>29</v>
      </c>
    </row>
    <row r="99" spans="1:25" x14ac:dyDescent="0.3">
      <c r="A99">
        <v>97</v>
      </c>
      <c r="B99">
        <v>0.5</v>
      </c>
      <c r="C99">
        <v>20</v>
      </c>
      <c r="D99">
        <v>97.969762999971806</v>
      </c>
      <c r="F99">
        <v>97.954007899970705</v>
      </c>
      <c r="G99">
        <v>97.969762999971806</v>
      </c>
      <c r="H99">
        <v>98.454220499959703</v>
      </c>
      <c r="I99">
        <v>98.454220499959703</v>
      </c>
      <c r="J99">
        <v>98.469954999978597</v>
      </c>
      <c r="K99">
        <v>98.770453699980806</v>
      </c>
      <c r="L99">
        <v>98.936961599974893</v>
      </c>
      <c r="M99" t="s">
        <v>25</v>
      </c>
      <c r="N99">
        <v>-20</v>
      </c>
      <c r="O99" s="1">
        <v>0</v>
      </c>
      <c r="P99">
        <v>0</v>
      </c>
      <c r="Q99">
        <v>0.46899189997930002</v>
      </c>
      <c r="R99">
        <v>514307</v>
      </c>
      <c r="S99">
        <v>1</v>
      </c>
      <c r="T99" t="s">
        <v>26</v>
      </c>
      <c r="U99" t="s">
        <v>27</v>
      </c>
      <c r="W99" t="s">
        <v>28</v>
      </c>
      <c r="X99">
        <v>59.725561029341698</v>
      </c>
      <c r="Y99" t="s">
        <v>29</v>
      </c>
    </row>
    <row r="100" spans="1:25" x14ac:dyDescent="0.3">
      <c r="A100">
        <v>98</v>
      </c>
      <c r="B100">
        <v>0.5</v>
      </c>
      <c r="C100">
        <v>20</v>
      </c>
      <c r="D100">
        <v>98.953408700006506</v>
      </c>
      <c r="F100">
        <v>98.937223199987699</v>
      </c>
      <c r="G100">
        <v>98.953408700006506</v>
      </c>
      <c r="H100">
        <v>99.436855399981098</v>
      </c>
      <c r="I100">
        <v>99.436855399981098</v>
      </c>
      <c r="J100">
        <v>99.454094899992896</v>
      </c>
      <c r="L100">
        <v>99.520216999982907</v>
      </c>
      <c r="M100" t="s">
        <v>25</v>
      </c>
      <c r="N100">
        <v>-20</v>
      </c>
      <c r="O100">
        <v>0</v>
      </c>
      <c r="P100">
        <v>0</v>
      </c>
      <c r="Q100">
        <v>6.8845100002363296E-2</v>
      </c>
      <c r="R100">
        <v>514307</v>
      </c>
      <c r="S100">
        <v>1</v>
      </c>
      <c r="T100" t="s">
        <v>26</v>
      </c>
      <c r="U100" t="s">
        <v>27</v>
      </c>
      <c r="W100" t="s">
        <v>28</v>
      </c>
      <c r="X100">
        <v>59.725561029341698</v>
      </c>
      <c r="Y100" t="s">
        <v>29</v>
      </c>
    </row>
    <row r="101" spans="1:25" x14ac:dyDescent="0.3">
      <c r="A101">
        <v>99</v>
      </c>
      <c r="B101">
        <v>0.5</v>
      </c>
      <c r="C101">
        <v>20</v>
      </c>
      <c r="D101">
        <v>99.536545999988405</v>
      </c>
      <c r="F101">
        <v>99.520395900006406</v>
      </c>
      <c r="G101">
        <v>99.536545999988405</v>
      </c>
      <c r="H101">
        <v>100.019517599954</v>
      </c>
      <c r="I101">
        <v>100.019517599954</v>
      </c>
      <c r="J101">
        <v>100.037214099953</v>
      </c>
      <c r="K101">
        <v>100.31990859995101</v>
      </c>
      <c r="L101">
        <v>100.487036799953</v>
      </c>
      <c r="M101" t="s">
        <v>25</v>
      </c>
      <c r="N101">
        <v>-20</v>
      </c>
      <c r="O101">
        <v>0</v>
      </c>
      <c r="P101">
        <v>0</v>
      </c>
      <c r="Q101">
        <v>0.45176570001058203</v>
      </c>
      <c r="R101">
        <v>514307</v>
      </c>
      <c r="S101">
        <v>1</v>
      </c>
      <c r="T101" t="s">
        <v>26</v>
      </c>
      <c r="U101" t="s">
        <v>27</v>
      </c>
      <c r="W101" t="s">
        <v>28</v>
      </c>
      <c r="X101">
        <v>59.725561029341698</v>
      </c>
      <c r="Y10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topLeftCell="A3" zoomScale="85" workbookViewId="0">
      <selection activeCell="W17" sqref="W17"/>
    </sheetView>
  </sheetViews>
  <sheetFormatPr defaultRowHeight="14.4" x14ac:dyDescent="0.3"/>
  <sheetData>
    <row r="1" spans="1:6" x14ac:dyDescent="0.3">
      <c r="A1" t="s">
        <v>0</v>
      </c>
      <c r="B1" t="s">
        <v>13</v>
      </c>
      <c r="C1" t="s">
        <v>14</v>
      </c>
    </row>
    <row r="2" spans="1:6" x14ac:dyDescent="0.3">
      <c r="A2">
        <v>0</v>
      </c>
      <c r="B2">
        <v>-10</v>
      </c>
      <c r="C2">
        <v>0</v>
      </c>
      <c r="E2">
        <f>B98</f>
        <v>20</v>
      </c>
    </row>
    <row r="3" spans="1:6" x14ac:dyDescent="0.3">
      <c r="A3">
        <v>1</v>
      </c>
      <c r="B3">
        <v>12</v>
      </c>
      <c r="C3">
        <v>1</v>
      </c>
      <c r="E3">
        <f>B96</f>
        <v>20</v>
      </c>
    </row>
    <row r="4" spans="1:6" x14ac:dyDescent="0.3">
      <c r="A4">
        <v>2</v>
      </c>
      <c r="B4">
        <v>11</v>
      </c>
      <c r="C4">
        <v>1</v>
      </c>
      <c r="E4">
        <v>20</v>
      </c>
    </row>
    <row r="5" spans="1:6" x14ac:dyDescent="0.3">
      <c r="A5">
        <v>3</v>
      </c>
      <c r="B5">
        <v>11</v>
      </c>
      <c r="C5">
        <v>1</v>
      </c>
      <c r="E5">
        <f>B90</f>
        <v>20</v>
      </c>
    </row>
    <row r="6" spans="1:6" x14ac:dyDescent="0.3">
      <c r="A6">
        <v>4</v>
      </c>
      <c r="B6">
        <v>11</v>
      </c>
      <c r="C6">
        <v>1</v>
      </c>
      <c r="E6">
        <f>B87</f>
        <v>20</v>
      </c>
    </row>
    <row r="7" spans="1:6" x14ac:dyDescent="0.3">
      <c r="A7">
        <v>5</v>
      </c>
      <c r="B7">
        <v>10</v>
      </c>
      <c r="C7">
        <v>1</v>
      </c>
    </row>
    <row r="8" spans="1:6" x14ac:dyDescent="0.3">
      <c r="A8">
        <v>6</v>
      </c>
      <c r="B8">
        <v>10</v>
      </c>
      <c r="C8">
        <v>1</v>
      </c>
    </row>
    <row r="9" spans="1:6" x14ac:dyDescent="0.3">
      <c r="A9">
        <v>7</v>
      </c>
      <c r="B9">
        <v>10</v>
      </c>
      <c r="C9">
        <v>1</v>
      </c>
      <c r="E9">
        <f>AVERAGE(E2:E6)</f>
        <v>20</v>
      </c>
      <c r="F9" t="s">
        <v>31</v>
      </c>
    </row>
    <row r="10" spans="1:6" x14ac:dyDescent="0.3">
      <c r="A10">
        <v>8</v>
      </c>
      <c r="B10">
        <v>9</v>
      </c>
      <c r="C10" s="1">
        <v>1</v>
      </c>
    </row>
    <row r="11" spans="1:6" x14ac:dyDescent="0.3">
      <c r="A11">
        <v>9</v>
      </c>
      <c r="B11">
        <v>-9</v>
      </c>
      <c r="C11" s="1">
        <v>0</v>
      </c>
    </row>
    <row r="12" spans="1:6" x14ac:dyDescent="0.3">
      <c r="A12">
        <v>10</v>
      </c>
      <c r="B12">
        <v>10</v>
      </c>
      <c r="C12">
        <v>1</v>
      </c>
    </row>
    <row r="13" spans="1:6" x14ac:dyDescent="0.3">
      <c r="A13">
        <v>11</v>
      </c>
      <c r="B13">
        <v>10</v>
      </c>
      <c r="C13">
        <v>1</v>
      </c>
    </row>
    <row r="14" spans="1:6" x14ac:dyDescent="0.3">
      <c r="A14">
        <v>12</v>
      </c>
      <c r="B14">
        <v>10</v>
      </c>
      <c r="C14" s="1">
        <v>1</v>
      </c>
    </row>
    <row r="15" spans="1:6" x14ac:dyDescent="0.3">
      <c r="A15">
        <v>13</v>
      </c>
      <c r="B15">
        <v>-9.5</v>
      </c>
      <c r="C15" s="1">
        <v>0</v>
      </c>
    </row>
    <row r="16" spans="1:6" x14ac:dyDescent="0.3">
      <c r="A16">
        <v>14</v>
      </c>
      <c r="B16">
        <v>-10</v>
      </c>
      <c r="C16">
        <v>0</v>
      </c>
    </row>
    <row r="17" spans="1:3" x14ac:dyDescent="0.3">
      <c r="A17">
        <v>15</v>
      </c>
      <c r="B17">
        <v>10.5</v>
      </c>
      <c r="C17">
        <v>1</v>
      </c>
    </row>
    <row r="18" spans="1:3" x14ac:dyDescent="0.3">
      <c r="A18">
        <v>16</v>
      </c>
      <c r="B18">
        <v>10.5</v>
      </c>
      <c r="C18" s="1">
        <v>1</v>
      </c>
    </row>
    <row r="19" spans="1:3" x14ac:dyDescent="0.3">
      <c r="A19">
        <v>17</v>
      </c>
      <c r="B19">
        <v>10.5</v>
      </c>
      <c r="C19" s="1">
        <v>0</v>
      </c>
    </row>
    <row r="20" spans="1:3" x14ac:dyDescent="0.3">
      <c r="A20">
        <v>18</v>
      </c>
      <c r="B20">
        <v>-11</v>
      </c>
      <c r="C20">
        <v>1</v>
      </c>
    </row>
    <row r="21" spans="1:3" x14ac:dyDescent="0.3">
      <c r="A21">
        <v>19</v>
      </c>
      <c r="B21">
        <v>-11</v>
      </c>
      <c r="C21" s="1">
        <v>1</v>
      </c>
    </row>
    <row r="22" spans="1:3" x14ac:dyDescent="0.3">
      <c r="A22">
        <v>20</v>
      </c>
      <c r="B22">
        <v>11</v>
      </c>
      <c r="C22" s="1">
        <v>0</v>
      </c>
    </row>
    <row r="23" spans="1:3" x14ac:dyDescent="0.3">
      <c r="A23">
        <v>21</v>
      </c>
      <c r="B23">
        <v>11.5</v>
      </c>
      <c r="C23">
        <v>0</v>
      </c>
    </row>
    <row r="24" spans="1:3" x14ac:dyDescent="0.3">
      <c r="A24">
        <v>22</v>
      </c>
      <c r="B24">
        <v>-12</v>
      </c>
      <c r="C24">
        <v>0</v>
      </c>
    </row>
    <row r="25" spans="1:3" x14ac:dyDescent="0.3">
      <c r="A25">
        <v>23</v>
      </c>
      <c r="B25">
        <v>12.5</v>
      </c>
      <c r="C25" s="1">
        <v>1</v>
      </c>
    </row>
    <row r="26" spans="1:3" x14ac:dyDescent="0.3">
      <c r="A26">
        <v>24</v>
      </c>
      <c r="B26">
        <v>-12.5</v>
      </c>
      <c r="C26" s="1">
        <v>0</v>
      </c>
    </row>
    <row r="27" spans="1:3" x14ac:dyDescent="0.3">
      <c r="A27">
        <v>25</v>
      </c>
      <c r="B27">
        <v>-13</v>
      </c>
      <c r="C27">
        <v>1</v>
      </c>
    </row>
    <row r="28" spans="1:3" x14ac:dyDescent="0.3">
      <c r="A28">
        <v>26</v>
      </c>
      <c r="B28">
        <v>-13</v>
      </c>
      <c r="C28">
        <v>1</v>
      </c>
    </row>
    <row r="29" spans="1:3" x14ac:dyDescent="0.3">
      <c r="A29">
        <v>27</v>
      </c>
      <c r="B29">
        <v>-13</v>
      </c>
      <c r="C29">
        <v>1</v>
      </c>
    </row>
    <row r="30" spans="1:3" x14ac:dyDescent="0.3">
      <c r="A30">
        <v>28</v>
      </c>
      <c r="B30">
        <v>-12.5</v>
      </c>
      <c r="C30" s="1">
        <v>1</v>
      </c>
    </row>
    <row r="31" spans="1:3" x14ac:dyDescent="0.3">
      <c r="A31">
        <v>29</v>
      </c>
      <c r="B31">
        <v>12.5</v>
      </c>
      <c r="C31" s="1">
        <v>0</v>
      </c>
    </row>
    <row r="32" spans="1:3" x14ac:dyDescent="0.3">
      <c r="A32">
        <v>30</v>
      </c>
      <c r="B32">
        <v>13</v>
      </c>
      <c r="C32">
        <v>0</v>
      </c>
    </row>
    <row r="33" spans="1:3" x14ac:dyDescent="0.3">
      <c r="A33">
        <v>31</v>
      </c>
      <c r="B33">
        <v>-13.5</v>
      </c>
      <c r="C33" s="1">
        <v>1</v>
      </c>
    </row>
    <row r="34" spans="1:3" x14ac:dyDescent="0.3">
      <c r="A34">
        <v>32</v>
      </c>
      <c r="B34">
        <v>13.5</v>
      </c>
      <c r="C34" s="1">
        <v>0</v>
      </c>
    </row>
    <row r="35" spans="1:3" x14ac:dyDescent="0.3">
      <c r="A35">
        <v>33</v>
      </c>
      <c r="B35">
        <v>14</v>
      </c>
      <c r="C35">
        <v>0</v>
      </c>
    </row>
    <row r="36" spans="1:3" x14ac:dyDescent="0.3">
      <c r="A36">
        <v>34</v>
      </c>
      <c r="B36">
        <v>-14.5</v>
      </c>
      <c r="C36">
        <v>0</v>
      </c>
    </row>
    <row r="37" spans="1:3" x14ac:dyDescent="0.3">
      <c r="A37">
        <v>35</v>
      </c>
      <c r="B37">
        <v>15</v>
      </c>
      <c r="C37">
        <v>1</v>
      </c>
    </row>
    <row r="38" spans="1:3" x14ac:dyDescent="0.3">
      <c r="A38">
        <v>36</v>
      </c>
      <c r="B38">
        <v>15</v>
      </c>
      <c r="C38">
        <v>1</v>
      </c>
    </row>
    <row r="39" spans="1:3" x14ac:dyDescent="0.3">
      <c r="A39">
        <v>37</v>
      </c>
      <c r="B39">
        <v>15</v>
      </c>
      <c r="C39" s="1">
        <v>1</v>
      </c>
    </row>
    <row r="40" spans="1:3" x14ac:dyDescent="0.3">
      <c r="A40">
        <v>38</v>
      </c>
      <c r="B40">
        <v>-14.5</v>
      </c>
      <c r="C40" s="1">
        <v>0</v>
      </c>
    </row>
    <row r="41" spans="1:3" x14ac:dyDescent="0.3">
      <c r="A41">
        <v>39</v>
      </c>
      <c r="B41">
        <v>15</v>
      </c>
      <c r="C41">
        <v>1</v>
      </c>
    </row>
    <row r="42" spans="1:3" x14ac:dyDescent="0.3">
      <c r="A42">
        <v>40</v>
      </c>
      <c r="B42">
        <v>15</v>
      </c>
      <c r="C42">
        <v>1</v>
      </c>
    </row>
    <row r="43" spans="1:3" x14ac:dyDescent="0.3">
      <c r="A43">
        <v>41</v>
      </c>
      <c r="B43">
        <v>15</v>
      </c>
      <c r="C43">
        <v>1</v>
      </c>
    </row>
    <row r="44" spans="1:3" x14ac:dyDescent="0.3">
      <c r="A44">
        <v>42</v>
      </c>
      <c r="B44">
        <v>-14.5</v>
      </c>
      <c r="C44">
        <v>0</v>
      </c>
    </row>
    <row r="45" spans="1:3" x14ac:dyDescent="0.3">
      <c r="A45">
        <v>43</v>
      </c>
      <c r="B45">
        <v>-15</v>
      </c>
      <c r="C45">
        <v>0</v>
      </c>
    </row>
    <row r="46" spans="1:3" x14ac:dyDescent="0.3">
      <c r="A46">
        <v>44</v>
      </c>
      <c r="B46">
        <v>-15.5</v>
      </c>
      <c r="C46">
        <v>0</v>
      </c>
    </row>
    <row r="47" spans="1:3" x14ac:dyDescent="0.3">
      <c r="A47">
        <v>45</v>
      </c>
      <c r="B47">
        <v>-16</v>
      </c>
      <c r="C47">
        <v>0</v>
      </c>
    </row>
    <row r="48" spans="1:3" x14ac:dyDescent="0.3">
      <c r="A48">
        <v>46</v>
      </c>
      <c r="B48">
        <v>-16.5</v>
      </c>
      <c r="C48">
        <v>1</v>
      </c>
    </row>
    <row r="49" spans="1:3" x14ac:dyDescent="0.3">
      <c r="A49">
        <v>47</v>
      </c>
      <c r="B49">
        <v>-16.5</v>
      </c>
      <c r="C49" s="1">
        <v>1</v>
      </c>
    </row>
    <row r="50" spans="1:3" x14ac:dyDescent="0.3">
      <c r="A50">
        <v>48</v>
      </c>
      <c r="B50">
        <v>16.5</v>
      </c>
      <c r="C50" s="1">
        <v>0</v>
      </c>
    </row>
    <row r="51" spans="1:3" x14ac:dyDescent="0.3">
      <c r="A51">
        <v>49</v>
      </c>
      <c r="B51">
        <v>-17</v>
      </c>
      <c r="C51">
        <v>0</v>
      </c>
    </row>
    <row r="52" spans="1:3" x14ac:dyDescent="0.3">
      <c r="A52">
        <v>50</v>
      </c>
      <c r="B52">
        <v>17.5</v>
      </c>
      <c r="C52">
        <v>1</v>
      </c>
    </row>
    <row r="53" spans="1:3" x14ac:dyDescent="0.3">
      <c r="A53">
        <v>51</v>
      </c>
      <c r="B53">
        <v>17.5</v>
      </c>
      <c r="C53" s="1">
        <v>1</v>
      </c>
    </row>
    <row r="54" spans="1:3" x14ac:dyDescent="0.3">
      <c r="A54">
        <v>52</v>
      </c>
      <c r="B54">
        <v>17.5</v>
      </c>
      <c r="C54" s="1">
        <v>0</v>
      </c>
    </row>
    <row r="55" spans="1:3" x14ac:dyDescent="0.3">
      <c r="A55">
        <v>53</v>
      </c>
      <c r="B55">
        <v>-18</v>
      </c>
      <c r="C55">
        <v>0</v>
      </c>
    </row>
    <row r="56" spans="1:3" x14ac:dyDescent="0.3">
      <c r="A56">
        <v>54</v>
      </c>
      <c r="B56">
        <v>-18.5</v>
      </c>
      <c r="C56">
        <v>0</v>
      </c>
    </row>
    <row r="57" spans="1:3" x14ac:dyDescent="0.3">
      <c r="A57">
        <v>55</v>
      </c>
      <c r="B57">
        <v>19</v>
      </c>
      <c r="C57">
        <v>1</v>
      </c>
    </row>
    <row r="58" spans="1:3" x14ac:dyDescent="0.3">
      <c r="A58">
        <v>56</v>
      </c>
      <c r="B58">
        <v>19</v>
      </c>
      <c r="C58" s="1">
        <v>1</v>
      </c>
    </row>
    <row r="59" spans="1:3" x14ac:dyDescent="0.3">
      <c r="A59">
        <v>57</v>
      </c>
      <c r="B59">
        <v>19</v>
      </c>
      <c r="C59" s="1">
        <v>0</v>
      </c>
    </row>
    <row r="60" spans="1:3" x14ac:dyDescent="0.3">
      <c r="A60">
        <v>58</v>
      </c>
      <c r="B60">
        <v>19.5</v>
      </c>
      <c r="C60">
        <v>0</v>
      </c>
    </row>
    <row r="61" spans="1:3" x14ac:dyDescent="0.3">
      <c r="A61">
        <v>59</v>
      </c>
      <c r="B61">
        <v>-20</v>
      </c>
      <c r="C61" s="1">
        <v>1</v>
      </c>
    </row>
    <row r="62" spans="1:3" x14ac:dyDescent="0.3">
      <c r="A62">
        <v>60</v>
      </c>
      <c r="B62">
        <v>20</v>
      </c>
      <c r="C62" s="1">
        <v>0</v>
      </c>
    </row>
    <row r="63" spans="1:3" x14ac:dyDescent="0.3">
      <c r="A63">
        <v>61</v>
      </c>
      <c r="B63">
        <v>-20</v>
      </c>
      <c r="C63">
        <v>0</v>
      </c>
    </row>
    <row r="64" spans="1:3" x14ac:dyDescent="0.3">
      <c r="A64">
        <v>62</v>
      </c>
      <c r="B64">
        <v>-20</v>
      </c>
      <c r="C64">
        <v>0</v>
      </c>
    </row>
    <row r="65" spans="1:3" x14ac:dyDescent="0.3">
      <c r="A65">
        <v>63</v>
      </c>
      <c r="B65">
        <v>20</v>
      </c>
      <c r="C65">
        <v>1</v>
      </c>
    </row>
    <row r="66" spans="1:3" x14ac:dyDescent="0.3">
      <c r="A66">
        <v>64</v>
      </c>
      <c r="B66">
        <v>20</v>
      </c>
      <c r="C66" s="1">
        <v>1</v>
      </c>
    </row>
    <row r="67" spans="1:3" x14ac:dyDescent="0.3">
      <c r="A67">
        <v>65</v>
      </c>
      <c r="B67">
        <v>-20</v>
      </c>
      <c r="C67" s="1">
        <v>0</v>
      </c>
    </row>
    <row r="68" spans="1:3" x14ac:dyDescent="0.3">
      <c r="A68">
        <v>66</v>
      </c>
      <c r="B68">
        <v>20</v>
      </c>
      <c r="C68">
        <v>1</v>
      </c>
    </row>
    <row r="69" spans="1:3" x14ac:dyDescent="0.3">
      <c r="A69">
        <v>67</v>
      </c>
      <c r="B69">
        <v>20</v>
      </c>
      <c r="C69" s="1">
        <v>1</v>
      </c>
    </row>
    <row r="70" spans="1:3" x14ac:dyDescent="0.3">
      <c r="A70">
        <v>68</v>
      </c>
      <c r="B70">
        <v>-20</v>
      </c>
      <c r="C70" s="1">
        <v>0</v>
      </c>
    </row>
    <row r="71" spans="1:3" x14ac:dyDescent="0.3">
      <c r="A71">
        <v>69</v>
      </c>
      <c r="B71">
        <v>-20</v>
      </c>
      <c r="C71">
        <v>0</v>
      </c>
    </row>
    <row r="72" spans="1:3" x14ac:dyDescent="0.3">
      <c r="A72">
        <v>70</v>
      </c>
      <c r="B72">
        <v>20</v>
      </c>
      <c r="C72" s="1">
        <v>1</v>
      </c>
    </row>
    <row r="73" spans="1:3" x14ac:dyDescent="0.3">
      <c r="A73">
        <v>71</v>
      </c>
      <c r="B73">
        <v>-20</v>
      </c>
      <c r="C73" s="1">
        <v>0</v>
      </c>
    </row>
    <row r="74" spans="1:3" x14ac:dyDescent="0.3">
      <c r="A74">
        <v>72</v>
      </c>
      <c r="B74">
        <v>-20</v>
      </c>
      <c r="C74">
        <v>0</v>
      </c>
    </row>
    <row r="75" spans="1:3" x14ac:dyDescent="0.3">
      <c r="A75">
        <v>73</v>
      </c>
      <c r="B75">
        <v>20</v>
      </c>
      <c r="C75" s="1">
        <v>1</v>
      </c>
    </row>
    <row r="76" spans="1:3" x14ac:dyDescent="0.3">
      <c r="A76">
        <v>74</v>
      </c>
      <c r="B76">
        <v>-20</v>
      </c>
      <c r="C76" s="1">
        <v>0</v>
      </c>
    </row>
    <row r="77" spans="1:3" x14ac:dyDescent="0.3">
      <c r="A77">
        <v>75</v>
      </c>
      <c r="B77">
        <v>20</v>
      </c>
      <c r="C77">
        <v>1</v>
      </c>
    </row>
    <row r="78" spans="1:3" x14ac:dyDescent="0.3">
      <c r="A78">
        <v>76</v>
      </c>
      <c r="B78">
        <v>20</v>
      </c>
      <c r="C78">
        <v>1</v>
      </c>
    </row>
    <row r="79" spans="1:3" x14ac:dyDescent="0.3">
      <c r="A79">
        <v>77</v>
      </c>
      <c r="B79">
        <v>20</v>
      </c>
      <c r="C79">
        <v>1</v>
      </c>
    </row>
    <row r="80" spans="1:3" x14ac:dyDescent="0.3">
      <c r="A80">
        <v>78</v>
      </c>
      <c r="B80">
        <v>19.5</v>
      </c>
      <c r="C80" s="1">
        <v>1</v>
      </c>
    </row>
    <row r="81" spans="1:3" x14ac:dyDescent="0.3">
      <c r="A81">
        <v>79</v>
      </c>
      <c r="B81">
        <v>-19.5</v>
      </c>
      <c r="C81" s="1">
        <v>0</v>
      </c>
    </row>
    <row r="82" spans="1:3" x14ac:dyDescent="0.3">
      <c r="A82">
        <v>80</v>
      </c>
      <c r="B82">
        <v>-20</v>
      </c>
      <c r="C82">
        <v>0</v>
      </c>
    </row>
    <row r="83" spans="1:3" x14ac:dyDescent="0.3">
      <c r="A83">
        <v>81</v>
      </c>
      <c r="B83">
        <v>20</v>
      </c>
      <c r="C83">
        <v>1</v>
      </c>
    </row>
    <row r="84" spans="1:3" x14ac:dyDescent="0.3">
      <c r="A84">
        <v>82</v>
      </c>
      <c r="B84">
        <v>20</v>
      </c>
      <c r="C84" s="1">
        <v>1</v>
      </c>
    </row>
    <row r="85" spans="1:3" x14ac:dyDescent="0.3">
      <c r="A85">
        <v>83</v>
      </c>
      <c r="B85">
        <v>20</v>
      </c>
      <c r="C85" s="1">
        <v>0</v>
      </c>
    </row>
    <row r="86" spans="1:3" x14ac:dyDescent="0.3">
      <c r="A86">
        <v>84</v>
      </c>
      <c r="B86">
        <v>-20</v>
      </c>
      <c r="C86">
        <v>0</v>
      </c>
    </row>
    <row r="87" spans="1:3" x14ac:dyDescent="0.3">
      <c r="A87">
        <v>85</v>
      </c>
      <c r="B87">
        <v>20</v>
      </c>
      <c r="C87" s="1">
        <v>1</v>
      </c>
    </row>
    <row r="88" spans="1:3" x14ac:dyDescent="0.3">
      <c r="A88">
        <v>86</v>
      </c>
      <c r="B88">
        <v>-20</v>
      </c>
      <c r="C88" s="1">
        <v>0</v>
      </c>
    </row>
    <row r="89" spans="1:3" x14ac:dyDescent="0.3">
      <c r="A89">
        <v>87</v>
      </c>
      <c r="B89">
        <v>20</v>
      </c>
      <c r="C89">
        <v>1</v>
      </c>
    </row>
    <row r="90" spans="1:3" x14ac:dyDescent="0.3">
      <c r="A90">
        <v>88</v>
      </c>
      <c r="B90">
        <v>20</v>
      </c>
      <c r="C90" s="1">
        <v>1</v>
      </c>
    </row>
    <row r="91" spans="1:3" x14ac:dyDescent="0.3">
      <c r="A91">
        <v>89</v>
      </c>
      <c r="B91">
        <v>-20</v>
      </c>
      <c r="C91" s="1">
        <v>0</v>
      </c>
    </row>
    <row r="92" spans="1:3" x14ac:dyDescent="0.3">
      <c r="A92">
        <v>90</v>
      </c>
      <c r="B92">
        <v>20</v>
      </c>
      <c r="C92">
        <v>1</v>
      </c>
    </row>
    <row r="93" spans="1:3" x14ac:dyDescent="0.3">
      <c r="A93">
        <v>91</v>
      </c>
      <c r="B93">
        <v>-20</v>
      </c>
      <c r="C93" s="1">
        <v>1</v>
      </c>
    </row>
    <row r="94" spans="1:3" x14ac:dyDescent="0.3">
      <c r="A94">
        <v>92</v>
      </c>
      <c r="B94">
        <v>-20</v>
      </c>
      <c r="C94" s="1">
        <v>0</v>
      </c>
    </row>
    <row r="95" spans="1:3" x14ac:dyDescent="0.3">
      <c r="A95">
        <v>93</v>
      </c>
      <c r="B95">
        <v>20</v>
      </c>
      <c r="C95">
        <v>1</v>
      </c>
    </row>
    <row r="96" spans="1:3" x14ac:dyDescent="0.3">
      <c r="A96">
        <v>94</v>
      </c>
      <c r="B96">
        <v>20</v>
      </c>
      <c r="C96" s="1">
        <v>1</v>
      </c>
    </row>
    <row r="97" spans="1:3" x14ac:dyDescent="0.3">
      <c r="A97">
        <v>95</v>
      </c>
      <c r="B97">
        <v>-20</v>
      </c>
      <c r="C97" s="1">
        <v>0</v>
      </c>
    </row>
    <row r="98" spans="1:3" x14ac:dyDescent="0.3">
      <c r="A98">
        <v>96</v>
      </c>
      <c r="B98">
        <v>20</v>
      </c>
      <c r="C98" s="1">
        <v>1</v>
      </c>
    </row>
    <row r="99" spans="1:3" x14ac:dyDescent="0.3">
      <c r="A99">
        <v>97</v>
      </c>
      <c r="B99">
        <v>-20</v>
      </c>
      <c r="C99" s="1">
        <v>0</v>
      </c>
    </row>
    <row r="100" spans="1:3" x14ac:dyDescent="0.3">
      <c r="A100">
        <v>98</v>
      </c>
      <c r="B100">
        <v>-20</v>
      </c>
      <c r="C100">
        <v>0</v>
      </c>
    </row>
    <row r="101" spans="1:3" x14ac:dyDescent="0.3">
      <c r="A101">
        <v>99</v>
      </c>
      <c r="B101">
        <v>-20</v>
      </c>
      <c r="C101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workbookViewId="0">
      <selection activeCell="D6" sqref="D6"/>
    </sheetView>
  </sheetViews>
  <sheetFormatPr defaultRowHeight="14.4" x14ac:dyDescent="0.3"/>
  <sheetData>
    <row r="1" spans="1:4" x14ac:dyDescent="0.3">
      <c r="A1" t="s">
        <v>14</v>
      </c>
    </row>
    <row r="2" spans="1:4" x14ac:dyDescent="0.3">
      <c r="A2">
        <v>0</v>
      </c>
    </row>
    <row r="3" spans="1:4" x14ac:dyDescent="0.3">
      <c r="A3" s="1">
        <v>0</v>
      </c>
      <c r="C3">
        <f>SUM(A48:A101)</f>
        <v>54</v>
      </c>
    </row>
    <row r="4" spans="1:4" x14ac:dyDescent="0.3">
      <c r="A4" s="1">
        <v>0</v>
      </c>
    </row>
    <row r="5" spans="1:4" x14ac:dyDescent="0.3">
      <c r="A5">
        <v>0</v>
      </c>
      <c r="C5">
        <f>(C3/100)*100</f>
        <v>54</v>
      </c>
      <c r="D5" t="s">
        <v>32</v>
      </c>
    </row>
    <row r="6" spans="1:4" x14ac:dyDescent="0.3">
      <c r="A6" s="1">
        <v>0</v>
      </c>
    </row>
    <row r="7" spans="1:4" x14ac:dyDescent="0.3">
      <c r="A7" s="1">
        <v>0</v>
      </c>
    </row>
    <row r="8" spans="1:4" x14ac:dyDescent="0.3">
      <c r="A8">
        <v>0</v>
      </c>
    </row>
    <row r="9" spans="1:4" x14ac:dyDescent="0.3">
      <c r="A9">
        <v>0</v>
      </c>
    </row>
    <row r="10" spans="1:4" x14ac:dyDescent="0.3">
      <c r="A10" s="1">
        <v>0</v>
      </c>
    </row>
    <row r="11" spans="1:4" x14ac:dyDescent="0.3">
      <c r="A11" s="1">
        <v>0</v>
      </c>
    </row>
    <row r="12" spans="1:4" x14ac:dyDescent="0.3">
      <c r="A12">
        <v>0</v>
      </c>
    </row>
    <row r="13" spans="1:4" x14ac:dyDescent="0.3">
      <c r="A13" s="1">
        <v>0</v>
      </c>
    </row>
    <row r="14" spans="1:4" x14ac:dyDescent="0.3">
      <c r="A14">
        <v>0</v>
      </c>
    </row>
    <row r="15" spans="1:4" x14ac:dyDescent="0.3">
      <c r="A15">
        <v>0</v>
      </c>
    </row>
    <row r="16" spans="1:4" x14ac:dyDescent="0.3">
      <c r="A16" s="1">
        <v>0</v>
      </c>
    </row>
    <row r="17" spans="1:1" x14ac:dyDescent="0.3">
      <c r="A17">
        <v>0</v>
      </c>
    </row>
    <row r="18" spans="1:1" x14ac:dyDescent="0.3">
      <c r="A18">
        <v>0</v>
      </c>
    </row>
    <row r="19" spans="1:1" x14ac:dyDescent="0.3">
      <c r="A19">
        <v>0</v>
      </c>
    </row>
    <row r="20" spans="1:1" x14ac:dyDescent="0.3">
      <c r="A20">
        <v>0</v>
      </c>
    </row>
    <row r="21" spans="1:1" x14ac:dyDescent="0.3">
      <c r="A21" s="1">
        <v>0</v>
      </c>
    </row>
    <row r="22" spans="1:1" x14ac:dyDescent="0.3">
      <c r="A22">
        <v>0</v>
      </c>
    </row>
    <row r="23" spans="1:1" x14ac:dyDescent="0.3">
      <c r="A23" s="1">
        <v>0</v>
      </c>
    </row>
    <row r="24" spans="1:1" x14ac:dyDescent="0.3">
      <c r="A24">
        <v>0</v>
      </c>
    </row>
    <row r="25" spans="1:1" x14ac:dyDescent="0.3">
      <c r="A25">
        <v>0</v>
      </c>
    </row>
    <row r="26" spans="1:1" x14ac:dyDescent="0.3">
      <c r="A26" s="1">
        <v>0</v>
      </c>
    </row>
    <row r="27" spans="1:1" x14ac:dyDescent="0.3">
      <c r="A27">
        <v>0</v>
      </c>
    </row>
    <row r="28" spans="1:1" x14ac:dyDescent="0.3">
      <c r="A28" s="1">
        <v>0</v>
      </c>
    </row>
    <row r="29" spans="1:1" x14ac:dyDescent="0.3">
      <c r="A29">
        <v>0</v>
      </c>
    </row>
    <row r="30" spans="1:1" x14ac:dyDescent="0.3">
      <c r="A30">
        <v>0</v>
      </c>
    </row>
    <row r="31" spans="1:1" x14ac:dyDescent="0.3">
      <c r="A31" s="1">
        <v>0</v>
      </c>
    </row>
    <row r="32" spans="1:1" x14ac:dyDescent="0.3">
      <c r="A32" s="1">
        <v>0</v>
      </c>
    </row>
    <row r="33" spans="1:1" x14ac:dyDescent="0.3">
      <c r="A33">
        <v>0</v>
      </c>
    </row>
    <row r="34" spans="1:1" x14ac:dyDescent="0.3">
      <c r="A34" s="1">
        <v>0</v>
      </c>
    </row>
    <row r="35" spans="1:1" x14ac:dyDescent="0.3">
      <c r="A35">
        <v>0</v>
      </c>
    </row>
    <row r="36" spans="1:1" x14ac:dyDescent="0.3">
      <c r="A36" s="1">
        <v>0</v>
      </c>
    </row>
    <row r="37" spans="1:1" x14ac:dyDescent="0.3">
      <c r="A37" s="1">
        <v>0</v>
      </c>
    </row>
    <row r="38" spans="1:1" x14ac:dyDescent="0.3">
      <c r="A38">
        <v>0</v>
      </c>
    </row>
    <row r="39" spans="1:1" x14ac:dyDescent="0.3">
      <c r="A39" s="1">
        <v>0</v>
      </c>
    </row>
    <row r="40" spans="1:1" x14ac:dyDescent="0.3">
      <c r="A40">
        <v>0</v>
      </c>
    </row>
    <row r="41" spans="1:1" x14ac:dyDescent="0.3">
      <c r="A41" s="1">
        <v>0</v>
      </c>
    </row>
    <row r="42" spans="1:1" x14ac:dyDescent="0.3">
      <c r="A42" s="1">
        <v>0</v>
      </c>
    </row>
    <row r="43" spans="1:1" x14ac:dyDescent="0.3">
      <c r="A43" s="1">
        <v>0</v>
      </c>
    </row>
    <row r="44" spans="1:1" x14ac:dyDescent="0.3">
      <c r="A44" s="1">
        <v>0</v>
      </c>
    </row>
    <row r="45" spans="1:1" x14ac:dyDescent="0.3">
      <c r="A45" s="1">
        <v>0</v>
      </c>
    </row>
    <row r="46" spans="1:1" x14ac:dyDescent="0.3">
      <c r="A46">
        <v>0</v>
      </c>
    </row>
    <row r="47" spans="1:1" x14ac:dyDescent="0.3">
      <c r="A47">
        <v>0</v>
      </c>
    </row>
    <row r="48" spans="1:1" x14ac:dyDescent="0.3">
      <c r="A48">
        <v>1</v>
      </c>
    </row>
    <row r="49" spans="1:1" x14ac:dyDescent="0.3">
      <c r="A49">
        <v>1</v>
      </c>
    </row>
    <row r="50" spans="1:1" x14ac:dyDescent="0.3">
      <c r="A50">
        <v>1</v>
      </c>
    </row>
    <row r="51" spans="1:1" x14ac:dyDescent="0.3">
      <c r="A51">
        <v>1</v>
      </c>
    </row>
    <row r="52" spans="1:1" x14ac:dyDescent="0.3">
      <c r="A52">
        <v>1</v>
      </c>
    </row>
    <row r="53" spans="1:1" x14ac:dyDescent="0.3">
      <c r="A53">
        <v>1</v>
      </c>
    </row>
    <row r="54" spans="1:1" x14ac:dyDescent="0.3">
      <c r="A54">
        <v>1</v>
      </c>
    </row>
    <row r="55" spans="1:1" x14ac:dyDescent="0.3">
      <c r="A55" s="1">
        <v>1</v>
      </c>
    </row>
    <row r="56" spans="1:1" x14ac:dyDescent="0.3">
      <c r="A56">
        <v>1</v>
      </c>
    </row>
    <row r="57" spans="1:1" x14ac:dyDescent="0.3">
      <c r="A57">
        <v>1</v>
      </c>
    </row>
    <row r="58" spans="1:1" x14ac:dyDescent="0.3">
      <c r="A58" s="1">
        <v>1</v>
      </c>
    </row>
    <row r="59" spans="1:1" x14ac:dyDescent="0.3">
      <c r="A59">
        <v>1</v>
      </c>
    </row>
    <row r="60" spans="1:1" x14ac:dyDescent="0.3">
      <c r="A60" s="1">
        <v>1</v>
      </c>
    </row>
    <row r="61" spans="1:1" x14ac:dyDescent="0.3">
      <c r="A61">
        <v>1</v>
      </c>
    </row>
    <row r="62" spans="1:1" x14ac:dyDescent="0.3">
      <c r="A62" s="1">
        <v>1</v>
      </c>
    </row>
    <row r="63" spans="1:1" x14ac:dyDescent="0.3">
      <c r="A63" s="1">
        <v>1</v>
      </c>
    </row>
    <row r="64" spans="1:1" x14ac:dyDescent="0.3">
      <c r="A64">
        <v>1</v>
      </c>
    </row>
    <row r="65" spans="1:1" x14ac:dyDescent="0.3">
      <c r="A65">
        <v>1</v>
      </c>
    </row>
    <row r="66" spans="1:1" x14ac:dyDescent="0.3">
      <c r="A66">
        <v>1</v>
      </c>
    </row>
    <row r="67" spans="1:1" x14ac:dyDescent="0.3">
      <c r="A67" s="1">
        <v>1</v>
      </c>
    </row>
    <row r="68" spans="1:1" x14ac:dyDescent="0.3">
      <c r="A68" s="1">
        <v>1</v>
      </c>
    </row>
    <row r="69" spans="1:1" x14ac:dyDescent="0.3">
      <c r="A69">
        <v>1</v>
      </c>
    </row>
    <row r="70" spans="1:1" x14ac:dyDescent="0.3">
      <c r="A70">
        <v>1</v>
      </c>
    </row>
    <row r="71" spans="1:1" x14ac:dyDescent="0.3">
      <c r="A71" s="1">
        <v>1</v>
      </c>
    </row>
    <row r="72" spans="1:1" x14ac:dyDescent="0.3">
      <c r="A72">
        <v>1</v>
      </c>
    </row>
    <row r="73" spans="1:1" x14ac:dyDescent="0.3">
      <c r="A73">
        <v>1</v>
      </c>
    </row>
    <row r="74" spans="1:1" x14ac:dyDescent="0.3">
      <c r="A74">
        <v>1</v>
      </c>
    </row>
    <row r="75" spans="1:1" x14ac:dyDescent="0.3">
      <c r="A75">
        <v>1</v>
      </c>
    </row>
    <row r="76" spans="1:1" x14ac:dyDescent="0.3">
      <c r="A76" s="1">
        <v>1</v>
      </c>
    </row>
    <row r="77" spans="1:1" x14ac:dyDescent="0.3">
      <c r="A77">
        <v>1</v>
      </c>
    </row>
    <row r="78" spans="1:1" x14ac:dyDescent="0.3">
      <c r="A78" s="1">
        <v>1</v>
      </c>
    </row>
    <row r="79" spans="1:1" x14ac:dyDescent="0.3">
      <c r="A79">
        <v>1</v>
      </c>
    </row>
    <row r="80" spans="1:1" x14ac:dyDescent="0.3">
      <c r="A80" s="1">
        <v>1</v>
      </c>
    </row>
    <row r="81" spans="1:1" x14ac:dyDescent="0.3">
      <c r="A81" s="1">
        <v>1</v>
      </c>
    </row>
    <row r="82" spans="1:1" x14ac:dyDescent="0.3">
      <c r="A82">
        <v>1</v>
      </c>
    </row>
    <row r="83" spans="1:1" x14ac:dyDescent="0.3">
      <c r="A83" s="1">
        <v>1</v>
      </c>
    </row>
    <row r="84" spans="1:1" x14ac:dyDescent="0.3">
      <c r="A84">
        <v>1</v>
      </c>
    </row>
    <row r="85" spans="1:1" x14ac:dyDescent="0.3">
      <c r="A85" s="1">
        <v>1</v>
      </c>
    </row>
    <row r="86" spans="1:1" x14ac:dyDescent="0.3">
      <c r="A86" s="1">
        <v>1</v>
      </c>
    </row>
    <row r="87" spans="1:1" x14ac:dyDescent="0.3">
      <c r="A87" s="1">
        <v>1</v>
      </c>
    </row>
    <row r="88" spans="1:1" x14ac:dyDescent="0.3">
      <c r="A88">
        <v>1</v>
      </c>
    </row>
    <row r="89" spans="1:1" x14ac:dyDescent="0.3">
      <c r="A89">
        <v>1</v>
      </c>
    </row>
    <row r="90" spans="1:1" x14ac:dyDescent="0.3">
      <c r="A90">
        <v>1</v>
      </c>
    </row>
    <row r="91" spans="1:1" x14ac:dyDescent="0.3">
      <c r="A91" s="1">
        <v>1</v>
      </c>
    </row>
    <row r="92" spans="1:1" x14ac:dyDescent="0.3">
      <c r="A92">
        <v>1</v>
      </c>
    </row>
    <row r="93" spans="1:1" x14ac:dyDescent="0.3">
      <c r="A93" s="1">
        <v>1</v>
      </c>
    </row>
    <row r="94" spans="1:1" x14ac:dyDescent="0.3">
      <c r="A94" s="1">
        <v>1</v>
      </c>
    </row>
    <row r="95" spans="1:1" x14ac:dyDescent="0.3">
      <c r="A95">
        <v>1</v>
      </c>
    </row>
    <row r="96" spans="1:1" x14ac:dyDescent="0.3">
      <c r="A96" s="1">
        <v>1</v>
      </c>
    </row>
    <row r="97" spans="1:1" x14ac:dyDescent="0.3">
      <c r="A97">
        <v>1</v>
      </c>
    </row>
    <row r="98" spans="1:1" x14ac:dyDescent="0.3">
      <c r="A98" s="1">
        <v>1</v>
      </c>
    </row>
    <row r="99" spans="1:1" x14ac:dyDescent="0.3">
      <c r="A99">
        <v>1</v>
      </c>
    </row>
    <row r="100" spans="1:1" x14ac:dyDescent="0.3">
      <c r="A100" s="1">
        <v>1</v>
      </c>
    </row>
    <row r="101" spans="1:1" x14ac:dyDescent="0.3">
      <c r="A101" s="1">
        <v>1</v>
      </c>
    </row>
  </sheetData>
  <autoFilter ref="A1:A101">
    <sortState ref="A2:A10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514307_adaptive_staircase_2025-</vt:lpstr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2025-09-04T10:35:34Z</dcterms:created>
  <dcterms:modified xsi:type="dcterms:W3CDTF">2025-09-04T13:20:57Z</dcterms:modified>
</cp:coreProperties>
</file>