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Stroop Task final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Sheet1!$C$2:$C$42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5" i="1" l="1"/>
  <c r="J46" i="1" s="1"/>
  <c r="I45" i="1"/>
  <c r="I46" i="1" s="1"/>
  <c r="J47" i="1"/>
  <c r="C48" i="1" l="1"/>
  <c r="C47" i="1"/>
  <c r="C46" i="1"/>
  <c r="H49" i="1"/>
  <c r="J48" i="1"/>
  <c r="I44" i="1"/>
  <c r="C44" i="1"/>
  <c r="J44" i="1"/>
</calcChain>
</file>

<file path=xl/sharedStrings.xml><?xml version="1.0" encoding="utf-8"?>
<sst xmlns="http://schemas.openxmlformats.org/spreadsheetml/2006/main" count="572" uniqueCount="87">
  <si>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</si>
  <si>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</si>
  <si>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</si>
  <si>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</si>
  <si>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</si>
  <si>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</si>
  <si>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</si>
  <si>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</si>
  <si>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</si>
  <si>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</si>
  <si>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</si>
  <si>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</si>
  <si>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</si>
  <si>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</si>
  <si>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</si>
  <si>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</si>
  <si>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</si>
  <si>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Instruction.started</t>
  </si>
  <si>
    <t>text_2.started</t>
  </si>
  <si>
    <t>key_resp_2.started</t>
  </si>
  <si>
    <t>Instruction.stopped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</si>
  <si>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</si>
  <si>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</si>
  <si>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</si>
  <si>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</si>
  <si>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</si>
  <si>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</si>
  <si>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text.started</t>
  </si>
  <si>
    <t>key_resp.started</t>
  </si>
  <si>
    <t>text.stopped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</si>
  <si>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</si>
  <si>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</si>
  <si>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</si>
  <si>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</si>
  <si>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</si>
  <si>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</si>
  <si>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</si>
  <si>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</si>
  <si>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</si>
  <si>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</si>
  <si>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</si>
  <si>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</si>
  <si>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</si>
  <si>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</si>
  <si>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</si>
  <si>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</si>
  <si>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</si>
  <si>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</si>
  <si>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</si>
  <si>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2025-08-24_22h58.56.757</t>
  </si>
  <si>
    <t>stroop task final</t>
  </si>
  <si>
    <t>2025.1.1</t>
  </si>
  <si>
    <t>2025-08-24 22h59.08.524866 +0530</t>
  </si>
  <si>
    <t>RED</t>
  </si>
  <si>
    <t>blue</t>
  </si>
  <si>
    <t>b</t>
  </si>
  <si>
    <t>red</t>
  </si>
  <si>
    <t>r</t>
  </si>
  <si>
    <t>BLUE</t>
  </si>
  <si>
    <t>Congruent</t>
  </si>
  <si>
    <t>Incongruent</t>
  </si>
  <si>
    <t>RT congruent</t>
  </si>
  <si>
    <t>Rt incongruent</t>
  </si>
  <si>
    <t>SD</t>
  </si>
  <si>
    <t>cong</t>
  </si>
  <si>
    <t>SE</t>
  </si>
  <si>
    <t xml:space="preserve">mean </t>
  </si>
  <si>
    <t xml:space="preserve">incong </t>
  </si>
  <si>
    <t xml:space="preserve">congruent </t>
  </si>
  <si>
    <t xml:space="preserve">incongruent </t>
  </si>
  <si>
    <t>Results</t>
  </si>
  <si>
    <t>Paired Samples T-Test</t>
  </si>
  <si>
    <t>Measure 1</t>
  </si>
  <si>
    <t>Measure 2</t>
  </si>
  <si>
    <t>t</t>
  </si>
  <si>
    <t>df</t>
  </si>
  <si>
    <t>p</t>
  </si>
  <si>
    <t>-</t>
  </si>
  <si>
    <t>incongruent</t>
  </si>
  <si>
    <r>
      <t>Note.</t>
    </r>
    <r>
      <rPr>
        <sz val="7"/>
        <color rgb="FF000000"/>
        <rFont val="Arial"/>
        <family val="2"/>
      </rPr>
      <t xml:space="preserve">  Student's t-test.</t>
    </r>
  </si>
  <si>
    <t>Descriptives</t>
  </si>
  <si>
    <t>N</t>
  </si>
  <si>
    <t>Mean</t>
  </si>
  <si>
    <t>Coefficient of variation</t>
  </si>
  <si>
    <t>Descriptives Plots</t>
  </si>
  <si>
    <t>Congruent - incongruent</t>
  </si>
  <si>
    <t>Bar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</si>
</sst>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i/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wrapText="1" indent="1"/>
    </xf>
    <xf numFmtId="0" fontId="4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362513</xdr:colOff>
      <xdr:row>74</xdr:row>
      <xdr:rowOff>0</xdr:rowOff>
    </xdr:from>
    <xdr:to>
      <xdr:col>28</xdr:col>
      <xdr:colOff>212274</xdr:colOff>
      <xdr:row>97</xdr:row>
      <xdr:rowOff>167015</xdr:rowOff>
    </xdr:to>
    <xdr:pic>
      <xdr:nvPicPr>
        <xdr:cNvPr id="2" name="Picture 1" descr="C:\Users\hp\AppData\Local\JASP\temp\clipboard\resources\0\_3_t-510463668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54732" y="14029151"/>
          <a:ext cx="6509432" cy="4488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31315</xdr:colOff>
      <xdr:row>78</xdr:row>
      <xdr:rowOff>75511</xdr:rowOff>
    </xdr:from>
    <xdr:to>
      <xdr:col>15</xdr:col>
      <xdr:colOff>260959</xdr:colOff>
      <xdr:row>103</xdr:row>
      <xdr:rowOff>127244</xdr:rowOff>
    </xdr:to>
    <xdr:pic>
      <xdr:nvPicPr>
        <xdr:cNvPr id="3" name="Picture 2" descr="C:\Users\hp\AppData\Local\JASP\temp\clipboard\resources\0\_4_t-510463174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230" y="14821022"/>
          <a:ext cx="6917410" cy="4712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5"/>
  <sheetViews>
    <sheetView tabSelected="1" topLeftCell="A75" zoomScale="94" workbookViewId="0">
      <selection activeCell="O68" sqref="O68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BC1" t="s">
        <v>68</v>
      </c>
      <c r="BD1" t="s">
        <v>69</v>
      </c>
    </row>
    <row r="2" spans="1:56" x14ac:dyDescent="0.3">
      <c r="R2">
        <v>2.1130999084561998E-3</v>
      </c>
      <c r="S2">
        <v>7.0238999323919398E-3</v>
      </c>
      <c r="T2">
        <v>7.0238999323919398E-3</v>
      </c>
      <c r="U2">
        <v>3.8121456999797299</v>
      </c>
      <c r="V2" t="s">
        <v>47</v>
      </c>
      <c r="W2">
        <v>3.5699204999254999</v>
      </c>
      <c r="X2" t="s">
        <v>48</v>
      </c>
      <c r="AN2">
        <v>20</v>
      </c>
      <c r="AO2">
        <v>1</v>
      </c>
      <c r="AP2" t="s">
        <v>49</v>
      </c>
      <c r="AQ2" t="s">
        <v>50</v>
      </c>
      <c r="AS2" t="s">
        <v>51</v>
      </c>
      <c r="AT2">
        <v>59.7177500321962</v>
      </c>
      <c r="AU2" t="s">
        <v>52</v>
      </c>
      <c r="BC2">
        <v>1.4158776000840501</v>
      </c>
      <c r="BD2">
        <v>5.6884629999985901</v>
      </c>
    </row>
    <row r="3" spans="1:56" x14ac:dyDescent="0.3">
      <c r="A3" t="s">
        <v>53</v>
      </c>
      <c r="B3" t="s">
        <v>54</v>
      </c>
      <c r="C3" t="s">
        <v>60</v>
      </c>
      <c r="D3" t="s">
        <v>55</v>
      </c>
      <c r="E3">
        <v>0</v>
      </c>
      <c r="F3">
        <v>0</v>
      </c>
      <c r="G3">
        <v>0</v>
      </c>
      <c r="H3" t="s">
        <v>55</v>
      </c>
      <c r="I3">
        <v>1</v>
      </c>
      <c r="J3">
        <v>5.6884629999985901</v>
      </c>
      <c r="K3" t="s">
        <v>48</v>
      </c>
      <c r="L3">
        <v>0</v>
      </c>
      <c r="M3">
        <v>0</v>
      </c>
      <c r="N3">
        <v>0</v>
      </c>
      <c r="O3">
        <v>1</v>
      </c>
      <c r="P3">
        <v>3.8518639999674602</v>
      </c>
      <c r="Y3">
        <v>3.8447851999662799</v>
      </c>
      <c r="Z3">
        <v>3.8518639999674602</v>
      </c>
      <c r="AA3">
        <v>4.3179033999331198</v>
      </c>
      <c r="AB3">
        <v>4.3179033999331198</v>
      </c>
      <c r="AC3">
        <v>4.3179033999331198</v>
      </c>
      <c r="AD3">
        <v>8.8177932999096793</v>
      </c>
      <c r="AE3">
        <v>10.019305099965999</v>
      </c>
      <c r="AF3" t="s">
        <v>55</v>
      </c>
      <c r="AG3">
        <v>1</v>
      </c>
      <c r="AH3">
        <v>5.6884629999985901</v>
      </c>
      <c r="AI3" t="s">
        <v>48</v>
      </c>
      <c r="AN3">
        <v>20</v>
      </c>
      <c r="AO3">
        <v>1</v>
      </c>
      <c r="AP3" t="s">
        <v>49</v>
      </c>
      <c r="AQ3" t="s">
        <v>50</v>
      </c>
      <c r="AS3" t="s">
        <v>51</v>
      </c>
      <c r="AT3">
        <v>59.7177500321962</v>
      </c>
      <c r="AU3" t="s">
        <v>52</v>
      </c>
      <c r="BC3">
        <v>0.77042890002485298</v>
      </c>
      <c r="BD3">
        <v>1.30039520002901</v>
      </c>
    </row>
    <row r="4" spans="1:56" x14ac:dyDescent="0.3">
      <c r="A4" t="s">
        <v>53</v>
      </c>
      <c r="B4" t="s">
        <v>56</v>
      </c>
      <c r="C4" t="s">
        <v>59</v>
      </c>
      <c r="D4" t="s">
        <v>57</v>
      </c>
      <c r="E4">
        <v>1</v>
      </c>
      <c r="F4">
        <v>1</v>
      </c>
      <c r="G4">
        <v>0</v>
      </c>
      <c r="H4" t="s">
        <v>57</v>
      </c>
      <c r="I4">
        <v>1</v>
      </c>
      <c r="J4">
        <v>1.4158776000840501</v>
      </c>
      <c r="K4" t="s">
        <v>48</v>
      </c>
      <c r="L4">
        <v>0</v>
      </c>
      <c r="M4">
        <v>1</v>
      </c>
      <c r="N4">
        <v>1</v>
      </c>
      <c r="O4">
        <v>0</v>
      </c>
      <c r="P4">
        <v>10.035589399980299</v>
      </c>
      <c r="Y4">
        <v>10.0203763999743</v>
      </c>
      <c r="Z4">
        <v>10.035589399980299</v>
      </c>
      <c r="AA4">
        <v>10.535828499938299</v>
      </c>
      <c r="AB4">
        <v>10.535828499938299</v>
      </c>
      <c r="AC4">
        <v>10.535828499938299</v>
      </c>
      <c r="AE4">
        <v>11.968314699944999</v>
      </c>
      <c r="AF4" t="s">
        <v>57</v>
      </c>
      <c r="AG4">
        <v>1</v>
      </c>
      <c r="AH4">
        <v>1.4158776000840501</v>
      </c>
      <c r="AI4" t="s">
        <v>48</v>
      </c>
      <c r="AN4">
        <v>20</v>
      </c>
      <c r="AO4">
        <v>1</v>
      </c>
      <c r="AP4" t="s">
        <v>49</v>
      </c>
      <c r="AQ4" t="s">
        <v>50</v>
      </c>
      <c r="AS4" t="s">
        <v>51</v>
      </c>
      <c r="AT4">
        <v>59.7177500321962</v>
      </c>
      <c r="AU4" t="s">
        <v>52</v>
      </c>
      <c r="BC4">
        <v>0.54440489993430596</v>
      </c>
      <c r="BD4">
        <v>0.57924809993710302</v>
      </c>
    </row>
    <row r="5" spans="1:56" x14ac:dyDescent="0.3">
      <c r="A5" t="s">
        <v>58</v>
      </c>
      <c r="B5" t="s">
        <v>54</v>
      </c>
      <c r="C5" t="s">
        <v>59</v>
      </c>
      <c r="D5" t="s">
        <v>55</v>
      </c>
      <c r="E5">
        <v>2</v>
      </c>
      <c r="F5">
        <v>2</v>
      </c>
      <c r="G5">
        <v>0</v>
      </c>
      <c r="H5" t="s">
        <v>55</v>
      </c>
      <c r="I5">
        <v>1</v>
      </c>
      <c r="J5">
        <v>0.77042890002485298</v>
      </c>
      <c r="K5" t="s">
        <v>48</v>
      </c>
      <c r="L5">
        <v>0</v>
      </c>
      <c r="M5">
        <v>2</v>
      </c>
      <c r="N5">
        <v>2</v>
      </c>
      <c r="O5">
        <v>3</v>
      </c>
      <c r="P5">
        <v>11.984433699981301</v>
      </c>
      <c r="Y5">
        <v>11.978039599955</v>
      </c>
      <c r="Z5">
        <v>11.984433699981301</v>
      </c>
      <c r="AA5">
        <v>12.4676703999284</v>
      </c>
      <c r="AB5">
        <v>12.4676703999284</v>
      </c>
      <c r="AC5">
        <v>12.4676703999284</v>
      </c>
      <c r="AE5">
        <v>13.2516394999111</v>
      </c>
      <c r="AF5" t="s">
        <v>55</v>
      </c>
      <c r="AG5">
        <v>1</v>
      </c>
      <c r="AH5">
        <v>0.77042890002485298</v>
      </c>
      <c r="AI5" t="s">
        <v>48</v>
      </c>
      <c r="AN5">
        <v>20</v>
      </c>
      <c r="AO5">
        <v>1</v>
      </c>
      <c r="AP5" t="s">
        <v>49</v>
      </c>
      <c r="AQ5" t="s">
        <v>50</v>
      </c>
      <c r="AS5" t="s">
        <v>51</v>
      </c>
      <c r="AT5">
        <v>59.7177500321962</v>
      </c>
      <c r="AU5" t="s">
        <v>52</v>
      </c>
      <c r="BC5">
        <v>0.72543890005908895</v>
      </c>
      <c r="BD5">
        <v>0.61884060001466401</v>
      </c>
    </row>
    <row r="6" spans="1:56" x14ac:dyDescent="0.3">
      <c r="A6" t="s">
        <v>58</v>
      </c>
      <c r="B6" t="s">
        <v>56</v>
      </c>
      <c r="C6" t="s">
        <v>60</v>
      </c>
      <c r="D6" t="s">
        <v>57</v>
      </c>
      <c r="E6">
        <v>3</v>
      </c>
      <c r="F6">
        <v>3</v>
      </c>
      <c r="G6">
        <v>0</v>
      </c>
      <c r="H6" t="s">
        <v>57</v>
      </c>
      <c r="I6">
        <v>1</v>
      </c>
      <c r="J6">
        <v>1.30039520002901</v>
      </c>
      <c r="K6" t="s">
        <v>48</v>
      </c>
      <c r="L6">
        <v>0</v>
      </c>
      <c r="M6">
        <v>3</v>
      </c>
      <c r="N6">
        <v>3</v>
      </c>
      <c r="O6">
        <v>2</v>
      </c>
      <c r="P6">
        <v>13.2683775000041</v>
      </c>
      <c r="Y6">
        <v>13.252306399983301</v>
      </c>
      <c r="Z6">
        <v>13.2683775000041</v>
      </c>
      <c r="AA6">
        <v>13.751069399993799</v>
      </c>
      <c r="AB6">
        <v>13.751069399993799</v>
      </c>
      <c r="AC6">
        <v>13.751069399993799</v>
      </c>
      <c r="AE6">
        <v>15.0683769999304</v>
      </c>
      <c r="AF6" t="s">
        <v>57</v>
      </c>
      <c r="AG6">
        <v>1</v>
      </c>
      <c r="AH6">
        <v>1.30039520002901</v>
      </c>
      <c r="AI6" t="s">
        <v>48</v>
      </c>
      <c r="AN6">
        <v>20</v>
      </c>
      <c r="AO6">
        <v>1</v>
      </c>
      <c r="AP6" t="s">
        <v>49</v>
      </c>
      <c r="AQ6" t="s">
        <v>50</v>
      </c>
      <c r="AS6" t="s">
        <v>51</v>
      </c>
      <c r="AT6">
        <v>59.7177500321962</v>
      </c>
      <c r="AU6" t="s">
        <v>52</v>
      </c>
      <c r="BC6">
        <v>0.74185009999200702</v>
      </c>
      <c r="BD6">
        <v>2.00900169997476</v>
      </c>
    </row>
    <row r="7" spans="1:56" x14ac:dyDescent="0.3">
      <c r="A7" t="s">
        <v>58</v>
      </c>
      <c r="B7" t="s">
        <v>54</v>
      </c>
      <c r="C7" t="s">
        <v>59</v>
      </c>
      <c r="D7" t="s">
        <v>55</v>
      </c>
      <c r="E7">
        <v>4</v>
      </c>
      <c r="F7">
        <v>0</v>
      </c>
      <c r="G7">
        <v>1</v>
      </c>
      <c r="H7" t="s">
        <v>55</v>
      </c>
      <c r="I7">
        <v>1</v>
      </c>
      <c r="J7">
        <v>0.54440489993430596</v>
      </c>
      <c r="K7" t="s">
        <v>48</v>
      </c>
      <c r="L7">
        <v>1</v>
      </c>
      <c r="M7">
        <v>0</v>
      </c>
      <c r="N7">
        <v>4</v>
      </c>
      <c r="O7">
        <v>3</v>
      </c>
      <c r="P7">
        <v>15.084975000005199</v>
      </c>
      <c r="Y7">
        <v>15.069467999972399</v>
      </c>
      <c r="Z7">
        <v>15.084975000005199</v>
      </c>
      <c r="AA7">
        <v>15.5677506999345</v>
      </c>
      <c r="AB7">
        <v>15.5677506999345</v>
      </c>
      <c r="AC7">
        <v>15.5677506999345</v>
      </c>
      <c r="AE7">
        <v>16.118329999968399</v>
      </c>
      <c r="AF7" t="s">
        <v>55</v>
      </c>
      <c r="AG7">
        <v>1</v>
      </c>
      <c r="AH7">
        <v>0.54440489993430596</v>
      </c>
      <c r="AI7" t="s">
        <v>48</v>
      </c>
      <c r="AN7">
        <v>20</v>
      </c>
      <c r="AO7">
        <v>1</v>
      </c>
      <c r="AP7" t="s">
        <v>49</v>
      </c>
      <c r="AQ7" t="s">
        <v>50</v>
      </c>
      <c r="AS7" t="s">
        <v>51</v>
      </c>
      <c r="AT7">
        <v>59.7177500321962</v>
      </c>
      <c r="AU7" t="s">
        <v>52</v>
      </c>
      <c r="BC7">
        <v>0.43622349994256998</v>
      </c>
      <c r="BD7">
        <v>0.71073269995395005</v>
      </c>
    </row>
    <row r="8" spans="1:56" x14ac:dyDescent="0.3">
      <c r="A8" t="s">
        <v>53</v>
      </c>
      <c r="B8" t="s">
        <v>56</v>
      </c>
      <c r="C8" t="s">
        <v>59</v>
      </c>
      <c r="D8" t="s">
        <v>57</v>
      </c>
      <c r="E8">
        <v>5</v>
      </c>
      <c r="F8">
        <v>1</v>
      </c>
      <c r="G8">
        <v>1</v>
      </c>
      <c r="H8" t="s">
        <v>57</v>
      </c>
      <c r="I8">
        <v>1</v>
      </c>
      <c r="J8">
        <v>0.72543890005908895</v>
      </c>
      <c r="K8" t="s">
        <v>48</v>
      </c>
      <c r="L8">
        <v>1</v>
      </c>
      <c r="M8">
        <v>1</v>
      </c>
      <c r="N8">
        <v>5</v>
      </c>
      <c r="O8">
        <v>0</v>
      </c>
      <c r="P8">
        <v>16.1347883999114</v>
      </c>
      <c r="Y8">
        <v>16.1220330999931</v>
      </c>
      <c r="Z8">
        <v>16.1347883999114</v>
      </c>
      <c r="AA8">
        <v>16.6177582999225</v>
      </c>
      <c r="AB8">
        <v>16.6177582999225</v>
      </c>
      <c r="AC8">
        <v>16.6177582999225</v>
      </c>
      <c r="AE8">
        <v>17.351803599973199</v>
      </c>
      <c r="AF8" t="s">
        <v>57</v>
      </c>
      <c r="AG8">
        <v>1</v>
      </c>
      <c r="AH8">
        <v>0.72543890005908895</v>
      </c>
      <c r="AI8" t="s">
        <v>48</v>
      </c>
      <c r="AN8">
        <v>20</v>
      </c>
      <c r="AO8">
        <v>1</v>
      </c>
      <c r="AP8" t="s">
        <v>49</v>
      </c>
      <c r="AQ8" t="s">
        <v>50</v>
      </c>
      <c r="AS8" t="s">
        <v>51</v>
      </c>
      <c r="AT8">
        <v>59.7177500321962</v>
      </c>
      <c r="AU8" t="s">
        <v>52</v>
      </c>
      <c r="BC8">
        <v>0.41629579989239501</v>
      </c>
      <c r="BD8">
        <v>0.711031400016509</v>
      </c>
    </row>
    <row r="9" spans="1:56" x14ac:dyDescent="0.3">
      <c r="A9" t="s">
        <v>58</v>
      </c>
      <c r="B9" t="s">
        <v>56</v>
      </c>
      <c r="C9" t="s">
        <v>60</v>
      </c>
      <c r="D9" t="s">
        <v>57</v>
      </c>
      <c r="E9">
        <v>6</v>
      </c>
      <c r="F9">
        <v>2</v>
      </c>
      <c r="G9">
        <v>1</v>
      </c>
      <c r="H9" t="s">
        <v>57</v>
      </c>
      <c r="I9">
        <v>1</v>
      </c>
      <c r="J9">
        <v>0.57924809993710302</v>
      </c>
      <c r="K9" t="s">
        <v>48</v>
      </c>
      <c r="L9">
        <v>1</v>
      </c>
      <c r="M9">
        <v>2</v>
      </c>
      <c r="N9">
        <v>6</v>
      </c>
      <c r="O9">
        <v>2</v>
      </c>
      <c r="P9">
        <v>17.368454399984302</v>
      </c>
      <c r="Y9">
        <v>17.356046399916501</v>
      </c>
      <c r="Z9">
        <v>17.368454399984302</v>
      </c>
      <c r="AA9">
        <v>17.851196700008501</v>
      </c>
      <c r="AB9">
        <v>17.851196700008501</v>
      </c>
      <c r="AC9">
        <v>17.851196700008501</v>
      </c>
      <c r="AE9">
        <v>18.434821099974201</v>
      </c>
      <c r="AF9" t="s">
        <v>57</v>
      </c>
      <c r="AG9">
        <v>1</v>
      </c>
      <c r="AH9">
        <v>0.57924809993710302</v>
      </c>
      <c r="AI9" t="s">
        <v>48</v>
      </c>
      <c r="AN9">
        <v>20</v>
      </c>
      <c r="AO9">
        <v>1</v>
      </c>
      <c r="AP9" t="s">
        <v>49</v>
      </c>
      <c r="AQ9" t="s">
        <v>50</v>
      </c>
      <c r="AS9" t="s">
        <v>51</v>
      </c>
      <c r="AT9">
        <v>59.7177500321962</v>
      </c>
      <c r="AU9" t="s">
        <v>52</v>
      </c>
      <c r="BC9">
        <v>0.57305030000861701</v>
      </c>
      <c r="BD9">
        <v>0.82059559994377196</v>
      </c>
    </row>
    <row r="10" spans="1:56" x14ac:dyDescent="0.3">
      <c r="A10" t="s">
        <v>53</v>
      </c>
      <c r="B10" t="s">
        <v>54</v>
      </c>
      <c r="C10" t="s">
        <v>60</v>
      </c>
      <c r="D10" t="s">
        <v>55</v>
      </c>
      <c r="E10">
        <v>7</v>
      </c>
      <c r="F10">
        <v>3</v>
      </c>
      <c r="G10">
        <v>1</v>
      </c>
      <c r="H10" t="s">
        <v>55</v>
      </c>
      <c r="I10">
        <v>1</v>
      </c>
      <c r="J10">
        <v>0.61884060001466401</v>
      </c>
      <c r="K10" t="s">
        <v>48</v>
      </c>
      <c r="L10">
        <v>1</v>
      </c>
      <c r="M10">
        <v>3</v>
      </c>
      <c r="N10">
        <v>7</v>
      </c>
      <c r="O10">
        <v>1</v>
      </c>
      <c r="P10">
        <v>18.451223599957299</v>
      </c>
      <c r="Y10">
        <v>18.437629399937499</v>
      </c>
      <c r="Z10">
        <v>18.451223599957299</v>
      </c>
      <c r="AA10">
        <v>18.934623199980699</v>
      </c>
      <c r="AB10">
        <v>18.934623199980699</v>
      </c>
      <c r="AC10">
        <v>18.934623199980699</v>
      </c>
      <c r="AE10">
        <v>19.5683783999411</v>
      </c>
      <c r="AF10" t="s">
        <v>55</v>
      </c>
      <c r="AG10">
        <v>1</v>
      </c>
      <c r="AH10">
        <v>0.61884060001466401</v>
      </c>
      <c r="AI10" t="s">
        <v>48</v>
      </c>
      <c r="AN10">
        <v>20</v>
      </c>
      <c r="AO10">
        <v>1</v>
      </c>
      <c r="AP10" t="s">
        <v>49</v>
      </c>
      <c r="AQ10" t="s">
        <v>50</v>
      </c>
      <c r="AS10" t="s">
        <v>51</v>
      </c>
      <c r="AT10">
        <v>59.7177500321962</v>
      </c>
      <c r="AU10" t="s">
        <v>52</v>
      </c>
      <c r="BC10">
        <v>0.48000280000269402</v>
      </c>
      <c r="BD10">
        <v>0.85837470006663297</v>
      </c>
    </row>
    <row r="11" spans="1:56" x14ac:dyDescent="0.3">
      <c r="A11" t="s">
        <v>58</v>
      </c>
      <c r="B11" t="s">
        <v>56</v>
      </c>
      <c r="C11" t="s">
        <v>60</v>
      </c>
      <c r="D11" t="s">
        <v>57</v>
      </c>
      <c r="E11">
        <v>8</v>
      </c>
      <c r="F11">
        <v>0</v>
      </c>
      <c r="G11">
        <v>2</v>
      </c>
      <c r="H11" t="s">
        <v>57</v>
      </c>
      <c r="I11">
        <v>1</v>
      </c>
      <c r="J11">
        <v>2.00900169997476</v>
      </c>
      <c r="K11" t="s">
        <v>48</v>
      </c>
      <c r="L11">
        <v>2</v>
      </c>
      <c r="M11">
        <v>0</v>
      </c>
      <c r="N11">
        <v>8</v>
      </c>
      <c r="O11">
        <v>2</v>
      </c>
      <c r="P11">
        <v>19.5844245000043</v>
      </c>
      <c r="Y11">
        <v>19.571119499974799</v>
      </c>
      <c r="Z11">
        <v>19.5844245000043</v>
      </c>
      <c r="AA11">
        <v>20.0676844000117</v>
      </c>
      <c r="AB11">
        <v>20.0676844000117</v>
      </c>
      <c r="AC11">
        <v>20.0676844000117</v>
      </c>
      <c r="AE11">
        <v>22.0850920999655</v>
      </c>
      <c r="AF11" t="s">
        <v>57</v>
      </c>
      <c r="AG11">
        <v>1</v>
      </c>
      <c r="AH11">
        <v>2.00900169997476</v>
      </c>
      <c r="AI11" t="s">
        <v>48</v>
      </c>
      <c r="AN11">
        <v>20</v>
      </c>
      <c r="AO11">
        <v>1</v>
      </c>
      <c r="AP11" t="s">
        <v>49</v>
      </c>
      <c r="AQ11" t="s">
        <v>50</v>
      </c>
      <c r="AS11" t="s">
        <v>51</v>
      </c>
      <c r="AT11">
        <v>59.7177500321962</v>
      </c>
      <c r="AU11" t="s">
        <v>52</v>
      </c>
      <c r="BC11">
        <v>0.66742160008288898</v>
      </c>
      <c r="BD11">
        <v>0.71868940000422299</v>
      </c>
    </row>
    <row r="12" spans="1:56" x14ac:dyDescent="0.3">
      <c r="A12" t="s">
        <v>58</v>
      </c>
      <c r="B12" t="s">
        <v>54</v>
      </c>
      <c r="C12" t="s">
        <v>59</v>
      </c>
      <c r="D12" t="s">
        <v>55</v>
      </c>
      <c r="E12">
        <v>9</v>
      </c>
      <c r="F12">
        <v>1</v>
      </c>
      <c r="G12">
        <v>2</v>
      </c>
      <c r="H12" t="s">
        <v>55</v>
      </c>
      <c r="I12">
        <v>1</v>
      </c>
      <c r="J12">
        <v>0.74185009999200702</v>
      </c>
      <c r="K12" t="s">
        <v>48</v>
      </c>
      <c r="L12">
        <v>2</v>
      </c>
      <c r="M12">
        <v>1</v>
      </c>
      <c r="N12">
        <v>9</v>
      </c>
      <c r="O12">
        <v>3</v>
      </c>
      <c r="P12">
        <v>22.101305899908699</v>
      </c>
      <c r="Y12">
        <v>22.0858256999636</v>
      </c>
      <c r="Z12">
        <v>22.101305899908699</v>
      </c>
      <c r="AA12">
        <v>22.584497099975099</v>
      </c>
      <c r="AB12">
        <v>22.584497099975099</v>
      </c>
      <c r="AC12">
        <v>22.584497099975099</v>
      </c>
      <c r="AE12">
        <v>23.334864399977899</v>
      </c>
      <c r="AF12" t="s">
        <v>55</v>
      </c>
      <c r="AG12">
        <v>1</v>
      </c>
      <c r="AH12">
        <v>0.74185009999200702</v>
      </c>
      <c r="AI12" t="s">
        <v>48</v>
      </c>
      <c r="AN12">
        <v>20</v>
      </c>
      <c r="AO12">
        <v>1</v>
      </c>
      <c r="AP12" t="s">
        <v>49</v>
      </c>
      <c r="AQ12" t="s">
        <v>50</v>
      </c>
      <c r="AS12" t="s">
        <v>51</v>
      </c>
      <c r="AT12">
        <v>59.7177500321962</v>
      </c>
      <c r="AU12" t="s">
        <v>52</v>
      </c>
      <c r="BC12">
        <v>0.96737169998232198</v>
      </c>
      <c r="BD12">
        <v>0.39481590001378197</v>
      </c>
    </row>
    <row r="13" spans="1:56" x14ac:dyDescent="0.3">
      <c r="A13" t="s">
        <v>53</v>
      </c>
      <c r="B13" t="s">
        <v>54</v>
      </c>
      <c r="C13" t="s">
        <v>60</v>
      </c>
      <c r="D13" t="s">
        <v>55</v>
      </c>
      <c r="E13">
        <v>10</v>
      </c>
      <c r="F13">
        <v>2</v>
      </c>
      <c r="G13">
        <v>2</v>
      </c>
      <c r="H13" t="s">
        <v>55</v>
      </c>
      <c r="I13">
        <v>1</v>
      </c>
      <c r="J13">
        <v>0.71073269995395005</v>
      </c>
      <c r="K13" t="s">
        <v>48</v>
      </c>
      <c r="L13">
        <v>2</v>
      </c>
      <c r="M13">
        <v>2</v>
      </c>
      <c r="N13">
        <v>10</v>
      </c>
      <c r="O13">
        <v>1</v>
      </c>
      <c r="P13">
        <v>23.351155799929899</v>
      </c>
      <c r="Y13">
        <v>23.3375115999951</v>
      </c>
      <c r="Z13">
        <v>23.351155799929899</v>
      </c>
      <c r="AA13">
        <v>23.834682899992899</v>
      </c>
      <c r="AB13">
        <v>23.834682899992899</v>
      </c>
      <c r="AC13">
        <v>23.834682899992899</v>
      </c>
      <c r="AE13">
        <v>24.551643099985</v>
      </c>
      <c r="AF13" t="s">
        <v>55</v>
      </c>
      <c r="AG13">
        <v>1</v>
      </c>
      <c r="AH13">
        <v>0.71073269995395005</v>
      </c>
      <c r="AI13" t="s">
        <v>48</v>
      </c>
      <c r="AN13">
        <v>20</v>
      </c>
      <c r="AO13">
        <v>1</v>
      </c>
      <c r="AP13" t="s">
        <v>49</v>
      </c>
      <c r="AQ13" t="s">
        <v>50</v>
      </c>
      <c r="AS13" t="s">
        <v>51</v>
      </c>
      <c r="AT13">
        <v>59.7177500321962</v>
      </c>
      <c r="AU13" t="s">
        <v>52</v>
      </c>
      <c r="BC13">
        <v>0.49130340002011502</v>
      </c>
      <c r="BD13">
        <v>0.61029949993826405</v>
      </c>
    </row>
    <row r="14" spans="1:56" x14ac:dyDescent="0.3">
      <c r="A14" t="s">
        <v>53</v>
      </c>
      <c r="B14" t="s">
        <v>56</v>
      </c>
      <c r="C14" t="s">
        <v>59</v>
      </c>
      <c r="D14" t="s">
        <v>57</v>
      </c>
      <c r="E14">
        <v>11</v>
      </c>
      <c r="F14">
        <v>3</v>
      </c>
      <c r="G14">
        <v>2</v>
      </c>
      <c r="H14" t="s">
        <v>57</v>
      </c>
      <c r="I14">
        <v>1</v>
      </c>
      <c r="J14">
        <v>0.43622349994256998</v>
      </c>
      <c r="K14" t="s">
        <v>48</v>
      </c>
      <c r="L14">
        <v>2</v>
      </c>
      <c r="M14">
        <v>3</v>
      </c>
      <c r="N14">
        <v>11</v>
      </c>
      <c r="O14">
        <v>0</v>
      </c>
      <c r="P14">
        <v>24.5677516999421</v>
      </c>
      <c r="Y14">
        <v>24.5523738999618</v>
      </c>
      <c r="Z14">
        <v>24.5677516999421</v>
      </c>
      <c r="AA14">
        <v>25.0511820999672</v>
      </c>
      <c r="AB14">
        <v>25.0511820999672</v>
      </c>
      <c r="AC14">
        <v>25.0511820999672</v>
      </c>
      <c r="AE14">
        <v>25.502166999969599</v>
      </c>
      <c r="AF14" t="s">
        <v>57</v>
      </c>
      <c r="AG14">
        <v>1</v>
      </c>
      <c r="AH14">
        <v>0.43622349994256998</v>
      </c>
      <c r="AI14" t="s">
        <v>48</v>
      </c>
      <c r="AN14">
        <v>20</v>
      </c>
      <c r="AO14">
        <v>1</v>
      </c>
      <c r="AP14" t="s">
        <v>49</v>
      </c>
      <c r="AQ14" t="s">
        <v>50</v>
      </c>
      <c r="AS14" t="s">
        <v>51</v>
      </c>
      <c r="AT14">
        <v>59.7177500321962</v>
      </c>
      <c r="AU14" t="s">
        <v>52</v>
      </c>
      <c r="BC14">
        <v>0.51715289999265202</v>
      </c>
      <c r="BD14">
        <v>0.59407980006653804</v>
      </c>
    </row>
    <row r="15" spans="1:56" x14ac:dyDescent="0.3">
      <c r="A15" t="s">
        <v>53</v>
      </c>
      <c r="B15" t="s">
        <v>56</v>
      </c>
      <c r="C15" t="s">
        <v>59</v>
      </c>
      <c r="D15" t="s">
        <v>57</v>
      </c>
      <c r="E15">
        <v>12</v>
      </c>
      <c r="F15">
        <v>0</v>
      </c>
      <c r="G15">
        <v>3</v>
      </c>
      <c r="H15" t="s">
        <v>57</v>
      </c>
      <c r="I15">
        <v>1</v>
      </c>
      <c r="J15">
        <v>0.41629579989239501</v>
      </c>
      <c r="K15" t="s">
        <v>48</v>
      </c>
      <c r="L15">
        <v>3</v>
      </c>
      <c r="M15">
        <v>0</v>
      </c>
      <c r="N15">
        <v>12</v>
      </c>
      <c r="O15">
        <v>0</v>
      </c>
      <c r="P15">
        <v>25.517850699950898</v>
      </c>
      <c r="Y15">
        <v>25.5028364999452</v>
      </c>
      <c r="Z15">
        <v>25.517850699950898</v>
      </c>
      <c r="AA15">
        <v>26.017816199921</v>
      </c>
      <c r="AB15">
        <v>26.017816199921</v>
      </c>
      <c r="AC15">
        <v>26.017816199921</v>
      </c>
      <c r="AE15">
        <v>26.434829499921701</v>
      </c>
      <c r="AF15" t="s">
        <v>57</v>
      </c>
      <c r="AG15">
        <v>1</v>
      </c>
      <c r="AH15">
        <v>0.41629579989239501</v>
      </c>
      <c r="AI15" t="s">
        <v>48</v>
      </c>
      <c r="AN15">
        <v>20</v>
      </c>
      <c r="AO15">
        <v>1</v>
      </c>
      <c r="AP15" t="s">
        <v>49</v>
      </c>
      <c r="AQ15" t="s">
        <v>50</v>
      </c>
      <c r="AS15" t="s">
        <v>51</v>
      </c>
      <c r="AT15">
        <v>59.7177500321962</v>
      </c>
      <c r="AU15" t="s">
        <v>52</v>
      </c>
      <c r="BC15">
        <v>0.44428950001019901</v>
      </c>
      <c r="BD15">
        <v>0.45847039995715</v>
      </c>
    </row>
    <row r="16" spans="1:56" x14ac:dyDescent="0.3">
      <c r="A16" t="s">
        <v>53</v>
      </c>
      <c r="B16" t="s">
        <v>54</v>
      </c>
      <c r="C16" t="s">
        <v>60</v>
      </c>
      <c r="D16" t="s">
        <v>55</v>
      </c>
      <c r="E16">
        <v>13</v>
      </c>
      <c r="F16">
        <v>1</v>
      </c>
      <c r="G16">
        <v>3</v>
      </c>
      <c r="H16" t="s">
        <v>55</v>
      </c>
      <c r="I16">
        <v>1</v>
      </c>
      <c r="J16">
        <v>0.711031400016509</v>
      </c>
      <c r="K16" t="s">
        <v>48</v>
      </c>
      <c r="L16">
        <v>3</v>
      </c>
      <c r="M16">
        <v>1</v>
      </c>
      <c r="N16">
        <v>13</v>
      </c>
      <c r="O16">
        <v>1</v>
      </c>
      <c r="P16">
        <v>26.451205299934301</v>
      </c>
      <c r="Y16">
        <v>26.435264499974402</v>
      </c>
      <c r="Z16">
        <v>26.451205299934301</v>
      </c>
      <c r="AA16">
        <v>26.934467099956201</v>
      </c>
      <c r="AB16">
        <v>26.934467099956201</v>
      </c>
      <c r="AC16">
        <v>26.934467099956201</v>
      </c>
      <c r="AE16">
        <v>27.651734499959201</v>
      </c>
      <c r="AF16" t="s">
        <v>55</v>
      </c>
      <c r="AG16">
        <v>1</v>
      </c>
      <c r="AH16">
        <v>0.711031400016509</v>
      </c>
      <c r="AI16" t="s">
        <v>48</v>
      </c>
      <c r="AN16">
        <v>20</v>
      </c>
      <c r="AO16">
        <v>1</v>
      </c>
      <c r="AP16" t="s">
        <v>49</v>
      </c>
      <c r="AQ16" t="s">
        <v>50</v>
      </c>
      <c r="AS16" t="s">
        <v>51</v>
      </c>
      <c r="AT16">
        <v>59.7177500321962</v>
      </c>
      <c r="AU16" t="s">
        <v>52</v>
      </c>
      <c r="BC16">
        <v>0.39622120000422001</v>
      </c>
      <c r="BD16">
        <v>0.53093180002178997</v>
      </c>
    </row>
    <row r="17" spans="1:56" x14ac:dyDescent="0.3">
      <c r="A17" t="s">
        <v>58</v>
      </c>
      <c r="B17" t="s">
        <v>56</v>
      </c>
      <c r="C17" t="s">
        <v>60</v>
      </c>
      <c r="D17" t="s">
        <v>57</v>
      </c>
      <c r="E17">
        <v>14</v>
      </c>
      <c r="F17">
        <v>2</v>
      </c>
      <c r="G17">
        <v>3</v>
      </c>
      <c r="H17" t="s">
        <v>57</v>
      </c>
      <c r="I17">
        <v>1</v>
      </c>
      <c r="J17">
        <v>0.82059559994377196</v>
      </c>
      <c r="K17" t="s">
        <v>48</v>
      </c>
      <c r="L17">
        <v>3</v>
      </c>
      <c r="M17">
        <v>2</v>
      </c>
      <c r="N17">
        <v>14</v>
      </c>
      <c r="O17">
        <v>2</v>
      </c>
      <c r="P17">
        <v>27.6676874998956</v>
      </c>
      <c r="Y17">
        <v>27.655127199948701</v>
      </c>
      <c r="Z17">
        <v>27.6676874998956</v>
      </c>
      <c r="AA17">
        <v>28.150949199916699</v>
      </c>
      <c r="AB17">
        <v>28.150949199916699</v>
      </c>
      <c r="AC17">
        <v>28.150949199916699</v>
      </c>
      <c r="AE17">
        <v>28.9854258999694</v>
      </c>
      <c r="AF17" t="s">
        <v>57</v>
      </c>
      <c r="AG17">
        <v>1</v>
      </c>
      <c r="AH17">
        <v>0.82059559994377196</v>
      </c>
      <c r="AI17" t="s">
        <v>48</v>
      </c>
      <c r="AN17">
        <v>20</v>
      </c>
      <c r="AO17">
        <v>1</v>
      </c>
      <c r="AP17" t="s">
        <v>49</v>
      </c>
      <c r="AQ17" t="s">
        <v>50</v>
      </c>
      <c r="AS17" t="s">
        <v>51</v>
      </c>
      <c r="AT17">
        <v>59.7177500321962</v>
      </c>
      <c r="AU17" t="s">
        <v>52</v>
      </c>
      <c r="BC17">
        <v>0.56235559994820505</v>
      </c>
      <c r="BD17">
        <v>0.36182370001915798</v>
      </c>
    </row>
    <row r="18" spans="1:56" x14ac:dyDescent="0.3">
      <c r="A18" t="s">
        <v>58</v>
      </c>
      <c r="B18" t="s">
        <v>54</v>
      </c>
      <c r="C18" t="s">
        <v>59</v>
      </c>
      <c r="D18" t="s">
        <v>55</v>
      </c>
      <c r="E18">
        <v>15</v>
      </c>
      <c r="F18">
        <v>3</v>
      </c>
      <c r="G18">
        <v>3</v>
      </c>
      <c r="H18" t="s">
        <v>55</v>
      </c>
      <c r="I18">
        <v>1</v>
      </c>
      <c r="J18">
        <v>0.57305030000861701</v>
      </c>
      <c r="K18" t="s">
        <v>48</v>
      </c>
      <c r="L18">
        <v>3</v>
      </c>
      <c r="M18">
        <v>3</v>
      </c>
      <c r="N18">
        <v>15</v>
      </c>
      <c r="O18">
        <v>3</v>
      </c>
      <c r="P18">
        <v>29.001966199954001</v>
      </c>
      <c r="Y18">
        <v>28.985836599953402</v>
      </c>
      <c r="Z18">
        <v>29.001966199954001</v>
      </c>
      <c r="AA18">
        <v>29.484438099898298</v>
      </c>
      <c r="AB18">
        <v>29.484438099898298</v>
      </c>
      <c r="AC18">
        <v>29.484438099898298</v>
      </c>
      <c r="AE18">
        <v>30.0682002999819</v>
      </c>
      <c r="AF18" t="s">
        <v>55</v>
      </c>
      <c r="AG18">
        <v>1</v>
      </c>
      <c r="AH18">
        <v>0.57305030000861701</v>
      </c>
      <c r="AI18" t="s">
        <v>48</v>
      </c>
      <c r="AN18">
        <v>20</v>
      </c>
      <c r="AO18">
        <v>1</v>
      </c>
      <c r="AP18" t="s">
        <v>49</v>
      </c>
      <c r="AQ18" t="s">
        <v>50</v>
      </c>
      <c r="AS18" t="s">
        <v>51</v>
      </c>
      <c r="AT18">
        <v>59.7177500321962</v>
      </c>
      <c r="AU18" t="s">
        <v>52</v>
      </c>
      <c r="BC18">
        <v>0.30974840000271697</v>
      </c>
      <c r="BD18">
        <v>0.52915090008173105</v>
      </c>
    </row>
    <row r="19" spans="1:56" x14ac:dyDescent="0.3">
      <c r="A19" t="s">
        <v>53</v>
      </c>
      <c r="B19" t="s">
        <v>56</v>
      </c>
      <c r="C19" t="s">
        <v>59</v>
      </c>
      <c r="D19" t="s">
        <v>57</v>
      </c>
      <c r="E19">
        <v>16</v>
      </c>
      <c r="F19">
        <v>0</v>
      </c>
      <c r="G19">
        <v>4</v>
      </c>
      <c r="H19" t="s">
        <v>57</v>
      </c>
      <c r="I19">
        <v>1</v>
      </c>
      <c r="J19">
        <v>0.48000280000269402</v>
      </c>
      <c r="K19" t="s">
        <v>48</v>
      </c>
      <c r="L19">
        <v>4</v>
      </c>
      <c r="M19">
        <v>0</v>
      </c>
      <c r="N19">
        <v>16</v>
      </c>
      <c r="O19">
        <v>0</v>
      </c>
      <c r="P19">
        <v>30.084458099910901</v>
      </c>
      <c r="Y19">
        <v>30.070984999998402</v>
      </c>
      <c r="Z19">
        <v>30.084458099910901</v>
      </c>
      <c r="AA19">
        <v>30.567762699909501</v>
      </c>
      <c r="AB19">
        <v>30.567762699909501</v>
      </c>
      <c r="AC19">
        <v>30.567762699909501</v>
      </c>
      <c r="AE19">
        <v>31.0524880999</v>
      </c>
      <c r="AF19" t="s">
        <v>57</v>
      </c>
      <c r="AG19">
        <v>1</v>
      </c>
      <c r="AH19">
        <v>0.48000280000269402</v>
      </c>
      <c r="AI19" t="s">
        <v>48</v>
      </c>
      <c r="AN19">
        <v>20</v>
      </c>
      <c r="AO19">
        <v>1</v>
      </c>
      <c r="AP19" t="s">
        <v>49</v>
      </c>
      <c r="AQ19" t="s">
        <v>50</v>
      </c>
      <c r="AS19" t="s">
        <v>51</v>
      </c>
      <c r="AT19">
        <v>59.7177500321962</v>
      </c>
      <c r="AU19" t="s">
        <v>52</v>
      </c>
      <c r="BC19">
        <v>0.53461440000683003</v>
      </c>
      <c r="BD19">
        <v>0.41180189989972799</v>
      </c>
    </row>
    <row r="20" spans="1:56" x14ac:dyDescent="0.3">
      <c r="A20" t="s">
        <v>58</v>
      </c>
      <c r="B20" t="s">
        <v>54</v>
      </c>
      <c r="C20" t="s">
        <v>59</v>
      </c>
      <c r="D20" t="s">
        <v>55</v>
      </c>
      <c r="E20">
        <v>17</v>
      </c>
      <c r="F20">
        <v>1</v>
      </c>
      <c r="G20">
        <v>4</v>
      </c>
      <c r="H20" t="s">
        <v>55</v>
      </c>
      <c r="I20">
        <v>1</v>
      </c>
      <c r="J20">
        <v>0.66742160008288898</v>
      </c>
      <c r="K20" t="s">
        <v>48</v>
      </c>
      <c r="L20">
        <v>4</v>
      </c>
      <c r="M20">
        <v>1</v>
      </c>
      <c r="N20">
        <v>17</v>
      </c>
      <c r="O20">
        <v>3</v>
      </c>
      <c r="P20">
        <v>31.067889899946699</v>
      </c>
      <c r="Y20">
        <v>31.058084699907301</v>
      </c>
      <c r="Z20">
        <v>31.067889899946699</v>
      </c>
      <c r="AA20">
        <v>31.567922999965901</v>
      </c>
      <c r="AB20">
        <v>31.567922999965901</v>
      </c>
      <c r="AC20">
        <v>31.567922999965901</v>
      </c>
      <c r="AE20">
        <v>32.251663699978899</v>
      </c>
      <c r="AF20" t="s">
        <v>55</v>
      </c>
      <c r="AG20">
        <v>1</v>
      </c>
      <c r="AH20">
        <v>0.66742160008288898</v>
      </c>
      <c r="AI20" t="s">
        <v>48</v>
      </c>
      <c r="AN20">
        <v>20</v>
      </c>
      <c r="AO20">
        <v>1</v>
      </c>
      <c r="AP20" t="s">
        <v>49</v>
      </c>
      <c r="AQ20" t="s">
        <v>50</v>
      </c>
      <c r="AS20" t="s">
        <v>51</v>
      </c>
      <c r="AT20">
        <v>59.7177500321962</v>
      </c>
      <c r="AU20" t="s">
        <v>52</v>
      </c>
      <c r="BC20">
        <v>0.38375040004029798</v>
      </c>
      <c r="BD20">
        <v>0.35381979995872798</v>
      </c>
    </row>
    <row r="21" spans="1:56" x14ac:dyDescent="0.3">
      <c r="A21" t="s">
        <v>53</v>
      </c>
      <c r="B21" t="s">
        <v>54</v>
      </c>
      <c r="C21" t="s">
        <v>60</v>
      </c>
      <c r="D21" t="s">
        <v>55</v>
      </c>
      <c r="E21">
        <v>18</v>
      </c>
      <c r="F21">
        <v>2</v>
      </c>
      <c r="G21">
        <v>4</v>
      </c>
      <c r="H21" t="s">
        <v>55</v>
      </c>
      <c r="I21">
        <v>1</v>
      </c>
      <c r="J21">
        <v>0.85837470006663297</v>
      </c>
      <c r="K21" t="s">
        <v>48</v>
      </c>
      <c r="L21">
        <v>4</v>
      </c>
      <c r="M21">
        <v>2</v>
      </c>
      <c r="N21">
        <v>18</v>
      </c>
      <c r="O21">
        <v>1</v>
      </c>
      <c r="P21">
        <v>32.267903100000602</v>
      </c>
      <c r="Y21">
        <v>32.254805599921298</v>
      </c>
      <c r="Z21">
        <v>32.267903100000602</v>
      </c>
      <c r="AA21">
        <v>32.7511985999299</v>
      </c>
      <c r="AB21">
        <v>32.7511985999299</v>
      </c>
      <c r="AC21">
        <v>32.7511985999299</v>
      </c>
      <c r="AE21">
        <v>33.618378499988403</v>
      </c>
      <c r="AF21" t="s">
        <v>55</v>
      </c>
      <c r="AG21">
        <v>1</v>
      </c>
      <c r="AH21">
        <v>0.85837470006663297</v>
      </c>
      <c r="AI21" t="s">
        <v>48</v>
      </c>
      <c r="AN21">
        <v>20</v>
      </c>
      <c r="AO21">
        <v>1</v>
      </c>
      <c r="AP21" t="s">
        <v>49</v>
      </c>
      <c r="AQ21" t="s">
        <v>50</v>
      </c>
      <c r="AS21" t="s">
        <v>51</v>
      </c>
      <c r="AT21">
        <v>59.7177500321962</v>
      </c>
      <c r="AU21" t="s">
        <v>52</v>
      </c>
      <c r="BC21">
        <v>0.47721159993670798</v>
      </c>
      <c r="BD21">
        <v>0.32739460002630899</v>
      </c>
    </row>
    <row r="22" spans="1:56" x14ac:dyDescent="0.3">
      <c r="A22" t="s">
        <v>58</v>
      </c>
      <c r="B22" t="s">
        <v>56</v>
      </c>
      <c r="C22" t="s">
        <v>60</v>
      </c>
      <c r="D22" t="s">
        <v>57</v>
      </c>
      <c r="E22">
        <v>19</v>
      </c>
      <c r="F22">
        <v>3</v>
      </c>
      <c r="G22">
        <v>4</v>
      </c>
      <c r="H22" t="s">
        <v>57</v>
      </c>
      <c r="I22">
        <v>1</v>
      </c>
      <c r="J22">
        <v>0.71868940000422299</v>
      </c>
      <c r="K22" t="s">
        <v>48</v>
      </c>
      <c r="L22">
        <v>4</v>
      </c>
      <c r="M22">
        <v>3</v>
      </c>
      <c r="N22">
        <v>19</v>
      </c>
      <c r="O22">
        <v>2</v>
      </c>
      <c r="P22">
        <v>33.634607299929399</v>
      </c>
      <c r="Y22">
        <v>33.622021199902498</v>
      </c>
      <c r="Z22">
        <v>33.634607299929399</v>
      </c>
      <c r="AA22">
        <v>34.117875600000801</v>
      </c>
      <c r="AB22">
        <v>34.117875600000801</v>
      </c>
      <c r="AC22">
        <v>34.117875600000801</v>
      </c>
      <c r="AE22">
        <v>34.851659899926702</v>
      </c>
      <c r="AF22" t="s">
        <v>57</v>
      </c>
      <c r="AG22">
        <v>1</v>
      </c>
      <c r="AH22">
        <v>0.71868940000422299</v>
      </c>
      <c r="AI22" t="s">
        <v>48</v>
      </c>
      <c r="AN22">
        <v>20</v>
      </c>
      <c r="AO22">
        <v>1</v>
      </c>
      <c r="AP22" t="s">
        <v>49</v>
      </c>
      <c r="AQ22" t="s">
        <v>50</v>
      </c>
      <c r="AS22" t="s">
        <v>51</v>
      </c>
      <c r="AT22">
        <v>59.7177500321962</v>
      </c>
      <c r="AU22" t="s">
        <v>52</v>
      </c>
    </row>
    <row r="23" spans="1:56" x14ac:dyDescent="0.3">
      <c r="A23" t="s">
        <v>58</v>
      </c>
      <c r="B23" t="s">
        <v>56</v>
      </c>
      <c r="C23" t="s">
        <v>60</v>
      </c>
      <c r="D23" t="s">
        <v>57</v>
      </c>
      <c r="E23">
        <v>20</v>
      </c>
      <c r="F23">
        <v>0</v>
      </c>
      <c r="G23">
        <v>5</v>
      </c>
      <c r="H23" t="s">
        <v>57</v>
      </c>
      <c r="I23">
        <v>1</v>
      </c>
      <c r="J23">
        <v>0.39481590001378197</v>
      </c>
      <c r="K23" t="s">
        <v>48</v>
      </c>
      <c r="L23">
        <v>5</v>
      </c>
      <c r="M23">
        <v>0</v>
      </c>
      <c r="N23">
        <v>20</v>
      </c>
      <c r="O23">
        <v>2</v>
      </c>
      <c r="P23">
        <v>34.867879799916402</v>
      </c>
      <c r="Y23">
        <v>34.8522774999728</v>
      </c>
      <c r="Z23">
        <v>34.867879799916402</v>
      </c>
      <c r="AA23">
        <v>35.351201599929396</v>
      </c>
      <c r="AB23">
        <v>35.351201599929396</v>
      </c>
      <c r="AC23">
        <v>35.351201599929396</v>
      </c>
      <c r="AE23">
        <v>35.751609499915503</v>
      </c>
      <c r="AF23" t="s">
        <v>57</v>
      </c>
      <c r="AG23">
        <v>1</v>
      </c>
      <c r="AH23">
        <v>0.39481590001378197</v>
      </c>
      <c r="AI23" t="s">
        <v>48</v>
      </c>
      <c r="AN23">
        <v>20</v>
      </c>
      <c r="AO23">
        <v>1</v>
      </c>
      <c r="AP23" t="s">
        <v>49</v>
      </c>
      <c r="AQ23" t="s">
        <v>50</v>
      </c>
      <c r="AS23" t="s">
        <v>51</v>
      </c>
      <c r="AT23">
        <v>59.7177500321962</v>
      </c>
      <c r="AU23" t="s">
        <v>52</v>
      </c>
    </row>
    <row r="24" spans="1:56" x14ac:dyDescent="0.3">
      <c r="A24" t="s">
        <v>53</v>
      </c>
      <c r="B24" t="s">
        <v>54</v>
      </c>
      <c r="C24" t="s">
        <v>60</v>
      </c>
      <c r="D24" t="s">
        <v>55</v>
      </c>
      <c r="E24">
        <v>21</v>
      </c>
      <c r="F24">
        <v>1</v>
      </c>
      <c r="G24">
        <v>5</v>
      </c>
      <c r="H24" t="s">
        <v>55</v>
      </c>
      <c r="I24">
        <v>1</v>
      </c>
      <c r="J24">
        <v>0.61029949993826405</v>
      </c>
      <c r="K24" t="s">
        <v>48</v>
      </c>
      <c r="L24">
        <v>5</v>
      </c>
      <c r="M24">
        <v>1</v>
      </c>
      <c r="N24">
        <v>21</v>
      </c>
      <c r="O24">
        <v>1</v>
      </c>
      <c r="P24">
        <v>35.767923599923897</v>
      </c>
      <c r="Y24">
        <v>35.754035999998401</v>
      </c>
      <c r="Z24">
        <v>35.767923599923897</v>
      </c>
      <c r="AA24">
        <v>36.251093299943001</v>
      </c>
      <c r="AB24">
        <v>36.251093299943001</v>
      </c>
      <c r="AC24">
        <v>36.251093299943001</v>
      </c>
      <c r="AE24">
        <v>36.868495199945698</v>
      </c>
      <c r="AF24" t="s">
        <v>55</v>
      </c>
      <c r="AG24">
        <v>1</v>
      </c>
      <c r="AH24">
        <v>0.61029949993826405</v>
      </c>
      <c r="AI24" t="s">
        <v>48</v>
      </c>
      <c r="AN24">
        <v>20</v>
      </c>
      <c r="AO24">
        <v>1</v>
      </c>
      <c r="AP24" t="s">
        <v>49</v>
      </c>
      <c r="AQ24" t="s">
        <v>50</v>
      </c>
      <c r="AS24" t="s">
        <v>51</v>
      </c>
      <c r="AT24">
        <v>59.7177500321962</v>
      </c>
      <c r="AU24" t="s">
        <v>52</v>
      </c>
    </row>
    <row r="25" spans="1:56" x14ac:dyDescent="0.3">
      <c r="A25" t="s">
        <v>53</v>
      </c>
      <c r="B25" t="s">
        <v>56</v>
      </c>
      <c r="C25" t="s">
        <v>59</v>
      </c>
      <c r="D25" t="s">
        <v>57</v>
      </c>
      <c r="E25">
        <v>22</v>
      </c>
      <c r="F25">
        <v>2</v>
      </c>
      <c r="G25">
        <v>5</v>
      </c>
      <c r="H25" t="s">
        <v>57</v>
      </c>
      <c r="I25">
        <v>1</v>
      </c>
      <c r="J25">
        <v>0.96737169998232198</v>
      </c>
      <c r="K25" t="s">
        <v>48</v>
      </c>
      <c r="L25">
        <v>5</v>
      </c>
      <c r="M25">
        <v>2</v>
      </c>
      <c r="N25">
        <v>22</v>
      </c>
      <c r="O25">
        <v>0</v>
      </c>
      <c r="P25">
        <v>36.884495300007899</v>
      </c>
      <c r="Y25">
        <v>36.869283600011798</v>
      </c>
      <c r="Z25">
        <v>36.884495300007899</v>
      </c>
      <c r="AA25">
        <v>37.367869299952801</v>
      </c>
      <c r="AB25">
        <v>37.367869299952801</v>
      </c>
      <c r="AC25">
        <v>37.367869299952801</v>
      </c>
      <c r="AE25">
        <v>38.3519508999306</v>
      </c>
      <c r="AF25" t="s">
        <v>57</v>
      </c>
      <c r="AG25">
        <v>1</v>
      </c>
      <c r="AH25">
        <v>0.96737169998232198</v>
      </c>
      <c r="AI25" t="s">
        <v>48</v>
      </c>
      <c r="AN25">
        <v>20</v>
      </c>
      <c r="AO25">
        <v>1</v>
      </c>
      <c r="AP25" t="s">
        <v>49</v>
      </c>
      <c r="AQ25" t="s">
        <v>50</v>
      </c>
      <c r="AS25" t="s">
        <v>51</v>
      </c>
      <c r="AT25">
        <v>59.7177500321962</v>
      </c>
      <c r="AU25" t="s">
        <v>52</v>
      </c>
    </row>
    <row r="26" spans="1:56" x14ac:dyDescent="0.3">
      <c r="A26" t="s">
        <v>58</v>
      </c>
      <c r="B26" t="s">
        <v>54</v>
      </c>
      <c r="C26" t="s">
        <v>59</v>
      </c>
      <c r="D26" t="s">
        <v>55</v>
      </c>
      <c r="E26">
        <v>23</v>
      </c>
      <c r="F26">
        <v>3</v>
      </c>
      <c r="G26">
        <v>5</v>
      </c>
      <c r="H26" t="s">
        <v>55</v>
      </c>
      <c r="I26">
        <v>1</v>
      </c>
      <c r="J26">
        <v>0.49130340002011502</v>
      </c>
      <c r="K26" t="s">
        <v>48</v>
      </c>
      <c r="L26">
        <v>5</v>
      </c>
      <c r="M26">
        <v>3</v>
      </c>
      <c r="N26">
        <v>23</v>
      </c>
      <c r="O26">
        <v>3</v>
      </c>
      <c r="P26">
        <v>38.367649599909697</v>
      </c>
      <c r="Y26">
        <v>38.358183400006901</v>
      </c>
      <c r="Z26">
        <v>38.367649599909697</v>
      </c>
      <c r="AA26">
        <v>38.851093799923497</v>
      </c>
      <c r="AB26">
        <v>38.851093799923497</v>
      </c>
      <c r="AC26">
        <v>38.851093799923497</v>
      </c>
      <c r="AE26">
        <v>39.351669299998299</v>
      </c>
      <c r="AF26" t="s">
        <v>55</v>
      </c>
      <c r="AG26">
        <v>1</v>
      </c>
      <c r="AH26">
        <v>0.49130340002011502</v>
      </c>
      <c r="AI26" t="s">
        <v>48</v>
      </c>
      <c r="AN26">
        <v>20</v>
      </c>
      <c r="AO26">
        <v>1</v>
      </c>
      <c r="AP26" t="s">
        <v>49</v>
      </c>
      <c r="AQ26" t="s">
        <v>50</v>
      </c>
      <c r="AS26" t="s">
        <v>51</v>
      </c>
      <c r="AT26">
        <v>59.7177500321962</v>
      </c>
      <c r="AU26" t="s">
        <v>52</v>
      </c>
    </row>
    <row r="27" spans="1:56" x14ac:dyDescent="0.3">
      <c r="A27" t="s">
        <v>58</v>
      </c>
      <c r="B27" t="s">
        <v>54</v>
      </c>
      <c r="C27" t="s">
        <v>59</v>
      </c>
      <c r="D27" t="s">
        <v>55</v>
      </c>
      <c r="E27">
        <v>24</v>
      </c>
      <c r="F27">
        <v>0</v>
      </c>
      <c r="G27">
        <v>6</v>
      </c>
      <c r="H27" t="s">
        <v>55</v>
      </c>
      <c r="I27">
        <v>1</v>
      </c>
      <c r="J27">
        <v>0.51715289999265202</v>
      </c>
      <c r="K27" t="s">
        <v>48</v>
      </c>
      <c r="L27">
        <v>6</v>
      </c>
      <c r="M27">
        <v>0</v>
      </c>
      <c r="N27">
        <v>24</v>
      </c>
      <c r="O27">
        <v>3</v>
      </c>
      <c r="P27">
        <v>39.367760599939999</v>
      </c>
      <c r="Y27">
        <v>39.352358100004402</v>
      </c>
      <c r="Z27">
        <v>39.367760599939999</v>
      </c>
      <c r="AA27">
        <v>39.851129599963301</v>
      </c>
      <c r="AB27">
        <v>39.851129599963301</v>
      </c>
      <c r="AC27">
        <v>39.851129599963301</v>
      </c>
      <c r="AE27">
        <v>40.384892000001798</v>
      </c>
      <c r="AF27" t="s">
        <v>55</v>
      </c>
      <c r="AG27">
        <v>1</v>
      </c>
      <c r="AH27">
        <v>0.51715289999265202</v>
      </c>
      <c r="AI27" t="s">
        <v>48</v>
      </c>
      <c r="AN27">
        <v>20</v>
      </c>
      <c r="AO27">
        <v>1</v>
      </c>
      <c r="AP27" t="s">
        <v>49</v>
      </c>
      <c r="AQ27" t="s">
        <v>50</v>
      </c>
      <c r="AS27" t="s">
        <v>51</v>
      </c>
      <c r="AT27">
        <v>59.7177500321962</v>
      </c>
      <c r="AU27" t="s">
        <v>52</v>
      </c>
    </row>
    <row r="28" spans="1:56" x14ac:dyDescent="0.3">
      <c r="A28" t="s">
        <v>58</v>
      </c>
      <c r="B28" t="s">
        <v>56</v>
      </c>
      <c r="C28" t="s">
        <v>60</v>
      </c>
      <c r="D28" t="s">
        <v>57</v>
      </c>
      <c r="E28">
        <v>25</v>
      </c>
      <c r="F28">
        <v>1</v>
      </c>
      <c r="G28">
        <v>6</v>
      </c>
      <c r="H28" t="s">
        <v>57</v>
      </c>
      <c r="I28">
        <v>1</v>
      </c>
      <c r="J28">
        <v>0.59407980006653804</v>
      </c>
      <c r="K28" t="s">
        <v>48</v>
      </c>
      <c r="L28">
        <v>6</v>
      </c>
      <c r="M28">
        <v>1</v>
      </c>
      <c r="N28">
        <v>25</v>
      </c>
      <c r="O28">
        <v>2</v>
      </c>
      <c r="P28">
        <v>40.400999999954301</v>
      </c>
      <c r="Y28">
        <v>40.385497499955797</v>
      </c>
      <c r="Z28">
        <v>40.400999999954301</v>
      </c>
      <c r="AA28">
        <v>40.884560399921597</v>
      </c>
      <c r="AB28">
        <v>40.884560399921597</v>
      </c>
      <c r="AC28">
        <v>40.884560399921597</v>
      </c>
      <c r="AE28">
        <v>41.485039299935998</v>
      </c>
      <c r="AF28" t="s">
        <v>57</v>
      </c>
      <c r="AG28">
        <v>1</v>
      </c>
      <c r="AH28">
        <v>0.59407980006653804</v>
      </c>
      <c r="AI28" t="s">
        <v>48</v>
      </c>
      <c r="AN28">
        <v>20</v>
      </c>
      <c r="AO28">
        <v>1</v>
      </c>
      <c r="AP28" t="s">
        <v>49</v>
      </c>
      <c r="AQ28" t="s">
        <v>50</v>
      </c>
      <c r="AS28" t="s">
        <v>51</v>
      </c>
      <c r="AT28">
        <v>59.7177500321962</v>
      </c>
      <c r="AU28" t="s">
        <v>52</v>
      </c>
    </row>
    <row r="29" spans="1:56" x14ac:dyDescent="0.3">
      <c r="A29" t="s">
        <v>53</v>
      </c>
      <c r="B29" t="s">
        <v>56</v>
      </c>
      <c r="C29" t="s">
        <v>59</v>
      </c>
      <c r="D29" t="s">
        <v>57</v>
      </c>
      <c r="E29">
        <v>26</v>
      </c>
      <c r="F29">
        <v>2</v>
      </c>
      <c r="G29">
        <v>6</v>
      </c>
      <c r="H29" t="s">
        <v>57</v>
      </c>
      <c r="I29">
        <v>1</v>
      </c>
      <c r="J29">
        <v>0.44428950001019901</v>
      </c>
      <c r="K29" t="s">
        <v>48</v>
      </c>
      <c r="L29">
        <v>6</v>
      </c>
      <c r="M29">
        <v>2</v>
      </c>
      <c r="N29">
        <v>26</v>
      </c>
      <c r="O29">
        <v>0</v>
      </c>
      <c r="P29">
        <v>41.501145199988898</v>
      </c>
      <c r="Y29">
        <v>41.4877715999027</v>
      </c>
      <c r="Z29">
        <v>41.501145199988898</v>
      </c>
      <c r="AA29">
        <v>41.984474799944998</v>
      </c>
      <c r="AB29">
        <v>41.984474799944998</v>
      </c>
      <c r="AC29">
        <v>41.984474799944998</v>
      </c>
      <c r="AE29">
        <v>42.434825100004602</v>
      </c>
      <c r="AF29" t="s">
        <v>57</v>
      </c>
      <c r="AG29">
        <v>1</v>
      </c>
      <c r="AH29">
        <v>0.44428950001019901</v>
      </c>
      <c r="AI29" t="s">
        <v>48</v>
      </c>
      <c r="AN29">
        <v>20</v>
      </c>
      <c r="AO29">
        <v>1</v>
      </c>
      <c r="AP29" t="s">
        <v>49</v>
      </c>
      <c r="AQ29" t="s">
        <v>50</v>
      </c>
      <c r="AS29" t="s">
        <v>51</v>
      </c>
      <c r="AT29">
        <v>59.7177500321962</v>
      </c>
      <c r="AU29" t="s">
        <v>52</v>
      </c>
    </row>
    <row r="30" spans="1:56" x14ac:dyDescent="0.3">
      <c r="A30" t="s">
        <v>53</v>
      </c>
      <c r="B30" t="s">
        <v>54</v>
      </c>
      <c r="C30" t="s">
        <v>60</v>
      </c>
      <c r="D30" t="s">
        <v>55</v>
      </c>
      <c r="E30">
        <v>27</v>
      </c>
      <c r="F30">
        <v>3</v>
      </c>
      <c r="G30">
        <v>6</v>
      </c>
      <c r="H30" t="s">
        <v>55</v>
      </c>
      <c r="I30">
        <v>1</v>
      </c>
      <c r="J30">
        <v>0.45847039995715</v>
      </c>
      <c r="K30" t="s">
        <v>48</v>
      </c>
      <c r="L30">
        <v>6</v>
      </c>
      <c r="M30">
        <v>3</v>
      </c>
      <c r="N30">
        <v>27</v>
      </c>
      <c r="O30">
        <v>1</v>
      </c>
      <c r="P30">
        <v>42.451151699991897</v>
      </c>
      <c r="Y30">
        <v>42.435443499940398</v>
      </c>
      <c r="Z30">
        <v>42.451151699991897</v>
      </c>
      <c r="AA30">
        <v>42.9346075999783</v>
      </c>
      <c r="AB30">
        <v>42.9346075999783</v>
      </c>
      <c r="AC30">
        <v>42.9346075999783</v>
      </c>
      <c r="AE30">
        <v>43.401651199907</v>
      </c>
      <c r="AF30" t="s">
        <v>55</v>
      </c>
      <c r="AG30">
        <v>1</v>
      </c>
      <c r="AH30">
        <v>0.45847039995715</v>
      </c>
      <c r="AI30" t="s">
        <v>48</v>
      </c>
      <c r="AN30">
        <v>20</v>
      </c>
      <c r="AO30">
        <v>1</v>
      </c>
      <c r="AP30" t="s">
        <v>49</v>
      </c>
      <c r="AQ30" t="s">
        <v>50</v>
      </c>
      <c r="AS30" t="s">
        <v>51</v>
      </c>
      <c r="AT30">
        <v>59.7177500321962</v>
      </c>
      <c r="AU30" t="s">
        <v>52</v>
      </c>
    </row>
    <row r="31" spans="1:56" x14ac:dyDescent="0.3">
      <c r="A31" t="s">
        <v>53</v>
      </c>
      <c r="B31" t="s">
        <v>54</v>
      </c>
      <c r="C31" t="s">
        <v>60</v>
      </c>
      <c r="D31" t="s">
        <v>55</v>
      </c>
      <c r="E31">
        <v>28</v>
      </c>
      <c r="F31">
        <v>0</v>
      </c>
      <c r="G31">
        <v>7</v>
      </c>
      <c r="H31" t="s">
        <v>55</v>
      </c>
      <c r="I31">
        <v>1</v>
      </c>
      <c r="J31">
        <v>0.53093180002178997</v>
      </c>
      <c r="K31" t="s">
        <v>48</v>
      </c>
      <c r="L31">
        <v>7</v>
      </c>
      <c r="M31">
        <v>0</v>
      </c>
      <c r="N31">
        <v>28</v>
      </c>
      <c r="O31">
        <v>1</v>
      </c>
      <c r="P31">
        <v>43.417819799971703</v>
      </c>
      <c r="Y31">
        <v>43.402358499937598</v>
      </c>
      <c r="Z31">
        <v>43.417819799971703</v>
      </c>
      <c r="AA31">
        <v>43.901398299960398</v>
      </c>
      <c r="AB31">
        <v>43.901398299960398</v>
      </c>
      <c r="AC31">
        <v>43.901398299960398</v>
      </c>
      <c r="AE31">
        <v>44.434793799999099</v>
      </c>
      <c r="AF31" t="s">
        <v>55</v>
      </c>
      <c r="AG31">
        <v>1</v>
      </c>
      <c r="AH31">
        <v>0.53093180002178997</v>
      </c>
      <c r="AI31" t="s">
        <v>48</v>
      </c>
      <c r="AN31">
        <v>20</v>
      </c>
      <c r="AO31">
        <v>1</v>
      </c>
      <c r="AP31" t="s">
        <v>49</v>
      </c>
      <c r="AQ31" t="s">
        <v>50</v>
      </c>
      <c r="AS31" t="s">
        <v>51</v>
      </c>
      <c r="AT31">
        <v>59.7177500321962</v>
      </c>
      <c r="AU31" t="s">
        <v>52</v>
      </c>
    </row>
    <row r="32" spans="1:56" x14ac:dyDescent="0.3">
      <c r="A32" t="s">
        <v>58</v>
      </c>
      <c r="B32" t="s">
        <v>54</v>
      </c>
      <c r="C32" t="s">
        <v>59</v>
      </c>
      <c r="D32" t="s">
        <v>55</v>
      </c>
      <c r="E32">
        <v>29</v>
      </c>
      <c r="F32">
        <v>1</v>
      </c>
      <c r="G32">
        <v>7</v>
      </c>
      <c r="H32" t="s">
        <v>55</v>
      </c>
      <c r="I32">
        <v>1</v>
      </c>
      <c r="J32">
        <v>0.39622120000422001</v>
      </c>
      <c r="K32" t="s">
        <v>48</v>
      </c>
      <c r="L32">
        <v>7</v>
      </c>
      <c r="M32">
        <v>1</v>
      </c>
      <c r="N32">
        <v>29</v>
      </c>
      <c r="O32">
        <v>3</v>
      </c>
      <c r="P32">
        <v>44.451064999913797</v>
      </c>
      <c r="Y32">
        <v>44.438296699896398</v>
      </c>
      <c r="Z32">
        <v>44.451064999913797</v>
      </c>
      <c r="AA32">
        <v>44.934545499971101</v>
      </c>
      <c r="AB32">
        <v>44.934545499971101</v>
      </c>
      <c r="AC32">
        <v>44.934545499971101</v>
      </c>
      <c r="AE32">
        <v>45.334922599955398</v>
      </c>
      <c r="AF32" t="s">
        <v>55</v>
      </c>
      <c r="AG32">
        <v>1</v>
      </c>
      <c r="AH32">
        <v>0.39622120000422001</v>
      </c>
      <c r="AI32" t="s">
        <v>48</v>
      </c>
      <c r="AN32">
        <v>20</v>
      </c>
      <c r="AO32">
        <v>1</v>
      </c>
      <c r="AP32" t="s">
        <v>49</v>
      </c>
      <c r="AQ32" t="s">
        <v>50</v>
      </c>
      <c r="AS32" t="s">
        <v>51</v>
      </c>
      <c r="AT32">
        <v>59.7177500321962</v>
      </c>
      <c r="AU32" t="s">
        <v>52</v>
      </c>
    </row>
    <row r="33" spans="1:47" x14ac:dyDescent="0.3">
      <c r="A33" t="s">
        <v>53</v>
      </c>
      <c r="B33" t="s">
        <v>56</v>
      </c>
      <c r="C33" t="s">
        <v>59</v>
      </c>
      <c r="D33" t="s">
        <v>57</v>
      </c>
      <c r="E33">
        <v>30</v>
      </c>
      <c r="F33">
        <v>2</v>
      </c>
      <c r="G33">
        <v>7</v>
      </c>
      <c r="H33" t="s">
        <v>57</v>
      </c>
      <c r="I33">
        <v>1</v>
      </c>
      <c r="J33">
        <v>0.56235559994820505</v>
      </c>
      <c r="K33" t="s">
        <v>48</v>
      </c>
      <c r="L33">
        <v>7</v>
      </c>
      <c r="M33">
        <v>2</v>
      </c>
      <c r="N33">
        <v>30</v>
      </c>
      <c r="O33">
        <v>0</v>
      </c>
      <c r="P33">
        <v>45.351203299942398</v>
      </c>
      <c r="Y33">
        <v>45.338301199954003</v>
      </c>
      <c r="Z33">
        <v>45.351203299942398</v>
      </c>
      <c r="AA33">
        <v>45.834500700002501</v>
      </c>
      <c r="AB33">
        <v>45.834500700002501</v>
      </c>
      <c r="AC33">
        <v>45.834500700002501</v>
      </c>
      <c r="AE33">
        <v>46.401871799957</v>
      </c>
      <c r="AF33" t="s">
        <v>57</v>
      </c>
      <c r="AG33">
        <v>1</v>
      </c>
      <c r="AH33">
        <v>0.56235559994820505</v>
      </c>
      <c r="AI33" t="s">
        <v>48</v>
      </c>
      <c r="AN33">
        <v>20</v>
      </c>
      <c r="AO33">
        <v>1</v>
      </c>
      <c r="AP33" t="s">
        <v>49</v>
      </c>
      <c r="AQ33" t="s">
        <v>50</v>
      </c>
      <c r="AS33" t="s">
        <v>51</v>
      </c>
      <c r="AT33">
        <v>59.7177500321962</v>
      </c>
      <c r="AU33" t="s">
        <v>52</v>
      </c>
    </row>
    <row r="34" spans="1:47" x14ac:dyDescent="0.3">
      <c r="A34" t="s">
        <v>58</v>
      </c>
      <c r="B34" t="s">
        <v>56</v>
      </c>
      <c r="C34" t="s">
        <v>60</v>
      </c>
      <c r="D34" t="s">
        <v>57</v>
      </c>
      <c r="E34">
        <v>31</v>
      </c>
      <c r="F34">
        <v>3</v>
      </c>
      <c r="G34">
        <v>7</v>
      </c>
      <c r="H34" t="s">
        <v>57</v>
      </c>
      <c r="I34">
        <v>1</v>
      </c>
      <c r="J34">
        <v>0.36182370001915798</v>
      </c>
      <c r="K34" t="s">
        <v>48</v>
      </c>
      <c r="L34">
        <v>7</v>
      </c>
      <c r="M34">
        <v>3</v>
      </c>
      <c r="N34">
        <v>31</v>
      </c>
      <c r="O34">
        <v>2</v>
      </c>
      <c r="P34">
        <v>46.418804299901197</v>
      </c>
      <c r="Y34">
        <v>46.405295899952698</v>
      </c>
      <c r="Z34">
        <v>46.418804299901197</v>
      </c>
      <c r="AA34">
        <v>46.902650899952199</v>
      </c>
      <c r="AB34">
        <v>46.902650899952199</v>
      </c>
      <c r="AC34">
        <v>46.902650899952199</v>
      </c>
      <c r="AE34">
        <v>47.268276999937299</v>
      </c>
      <c r="AF34" t="s">
        <v>57</v>
      </c>
      <c r="AG34">
        <v>1</v>
      </c>
      <c r="AH34">
        <v>0.36182370001915798</v>
      </c>
      <c r="AI34" t="s">
        <v>48</v>
      </c>
      <c r="AN34">
        <v>20</v>
      </c>
      <c r="AO34">
        <v>1</v>
      </c>
      <c r="AP34" t="s">
        <v>49</v>
      </c>
      <c r="AQ34" t="s">
        <v>50</v>
      </c>
      <c r="AS34" t="s">
        <v>51</v>
      </c>
      <c r="AT34">
        <v>59.7177500321962</v>
      </c>
      <c r="AU34" t="s">
        <v>52</v>
      </c>
    </row>
    <row r="35" spans="1:47" x14ac:dyDescent="0.3">
      <c r="A35" t="s">
        <v>58</v>
      </c>
      <c r="B35" t="s">
        <v>56</v>
      </c>
      <c r="C35" t="s">
        <v>60</v>
      </c>
      <c r="D35" t="s">
        <v>57</v>
      </c>
      <c r="E35">
        <v>32</v>
      </c>
      <c r="F35">
        <v>0</v>
      </c>
      <c r="G35">
        <v>8</v>
      </c>
      <c r="H35" t="s">
        <v>57</v>
      </c>
      <c r="I35">
        <v>1</v>
      </c>
      <c r="J35">
        <v>0.52915090008173105</v>
      </c>
      <c r="K35" t="s">
        <v>48</v>
      </c>
      <c r="L35">
        <v>8</v>
      </c>
      <c r="M35">
        <v>0</v>
      </c>
      <c r="N35">
        <v>32</v>
      </c>
      <c r="O35">
        <v>2</v>
      </c>
      <c r="P35">
        <v>47.284470699960302</v>
      </c>
      <c r="Y35">
        <v>47.269037799909697</v>
      </c>
      <c r="Z35">
        <v>47.284470699960302</v>
      </c>
      <c r="AA35">
        <v>47.767787499935302</v>
      </c>
      <c r="AB35">
        <v>47.767787499935302</v>
      </c>
      <c r="AC35">
        <v>47.767787499935302</v>
      </c>
      <c r="AE35">
        <v>48.3018814999377</v>
      </c>
      <c r="AF35" t="s">
        <v>57</v>
      </c>
      <c r="AG35">
        <v>1</v>
      </c>
      <c r="AH35">
        <v>0.52915090008173105</v>
      </c>
      <c r="AI35" t="s">
        <v>48</v>
      </c>
      <c r="AN35">
        <v>20</v>
      </c>
      <c r="AO35">
        <v>1</v>
      </c>
      <c r="AP35" t="s">
        <v>49</v>
      </c>
      <c r="AQ35" t="s">
        <v>50</v>
      </c>
      <c r="AS35" t="s">
        <v>51</v>
      </c>
      <c r="AT35">
        <v>59.7177500321962</v>
      </c>
      <c r="AU35" t="s">
        <v>52</v>
      </c>
    </row>
    <row r="36" spans="1:47" x14ac:dyDescent="0.3">
      <c r="A36" t="s">
        <v>53</v>
      </c>
      <c r="B36" t="s">
        <v>54</v>
      </c>
      <c r="C36" t="s">
        <v>60</v>
      </c>
      <c r="D36" t="s">
        <v>55</v>
      </c>
      <c r="E36">
        <v>33</v>
      </c>
      <c r="F36">
        <v>1</v>
      </c>
      <c r="G36">
        <v>8</v>
      </c>
      <c r="H36" t="s">
        <v>55</v>
      </c>
      <c r="I36">
        <v>1</v>
      </c>
      <c r="J36">
        <v>0.41180189989972799</v>
      </c>
      <c r="K36" t="s">
        <v>48</v>
      </c>
      <c r="L36">
        <v>8</v>
      </c>
      <c r="M36">
        <v>1</v>
      </c>
      <c r="N36">
        <v>33</v>
      </c>
      <c r="O36">
        <v>1</v>
      </c>
      <c r="P36">
        <v>48.317671199911203</v>
      </c>
      <c r="Y36">
        <v>48.304571299930103</v>
      </c>
      <c r="Z36">
        <v>48.317671199911203</v>
      </c>
      <c r="AA36">
        <v>48.801051299902603</v>
      </c>
      <c r="AB36">
        <v>48.801051299902603</v>
      </c>
      <c r="AC36">
        <v>48.801051299902603</v>
      </c>
      <c r="AE36">
        <v>49.218379199970499</v>
      </c>
      <c r="AF36" t="s">
        <v>55</v>
      </c>
      <c r="AG36">
        <v>1</v>
      </c>
      <c r="AH36">
        <v>0.41180189989972799</v>
      </c>
      <c r="AI36" t="s">
        <v>48</v>
      </c>
      <c r="AN36">
        <v>20</v>
      </c>
      <c r="AO36">
        <v>1</v>
      </c>
      <c r="AP36" t="s">
        <v>49</v>
      </c>
      <c r="AQ36" t="s">
        <v>50</v>
      </c>
      <c r="AS36" t="s">
        <v>51</v>
      </c>
      <c r="AT36">
        <v>59.7177500321962</v>
      </c>
      <c r="AU36" t="s">
        <v>52</v>
      </c>
    </row>
    <row r="37" spans="1:47" x14ac:dyDescent="0.3">
      <c r="A37" t="s">
        <v>58</v>
      </c>
      <c r="B37" t="s">
        <v>54</v>
      </c>
      <c r="C37" t="s">
        <v>59</v>
      </c>
      <c r="D37" t="s">
        <v>55</v>
      </c>
      <c r="E37">
        <v>34</v>
      </c>
      <c r="F37">
        <v>2</v>
      </c>
      <c r="G37">
        <v>8</v>
      </c>
      <c r="H37" t="s">
        <v>55</v>
      </c>
      <c r="I37">
        <v>1</v>
      </c>
      <c r="J37">
        <v>0.30974840000271697</v>
      </c>
      <c r="K37" t="s">
        <v>48</v>
      </c>
      <c r="L37">
        <v>8</v>
      </c>
      <c r="M37">
        <v>2</v>
      </c>
      <c r="N37">
        <v>34</v>
      </c>
      <c r="O37">
        <v>3</v>
      </c>
      <c r="P37">
        <v>49.2344279999379</v>
      </c>
      <c r="Y37">
        <v>49.2222244999138</v>
      </c>
      <c r="Z37">
        <v>49.2344279999379</v>
      </c>
      <c r="AA37">
        <v>49.717718299943897</v>
      </c>
      <c r="AB37">
        <v>49.717718299943897</v>
      </c>
      <c r="AC37">
        <v>49.717718299943897</v>
      </c>
      <c r="AE37">
        <v>50.035457399906498</v>
      </c>
      <c r="AF37" t="s">
        <v>55</v>
      </c>
      <c r="AG37">
        <v>1</v>
      </c>
      <c r="AH37">
        <v>0.30974840000271697</v>
      </c>
      <c r="AI37" t="s">
        <v>48</v>
      </c>
      <c r="AN37">
        <v>20</v>
      </c>
      <c r="AO37">
        <v>1</v>
      </c>
      <c r="AP37" t="s">
        <v>49</v>
      </c>
      <c r="AQ37" t="s">
        <v>50</v>
      </c>
      <c r="AS37" t="s">
        <v>51</v>
      </c>
      <c r="AT37">
        <v>59.7177500321962</v>
      </c>
      <c r="AU37" t="s">
        <v>52</v>
      </c>
    </row>
    <row r="38" spans="1:47" x14ac:dyDescent="0.3">
      <c r="A38" t="s">
        <v>53</v>
      </c>
      <c r="B38" t="s">
        <v>56</v>
      </c>
      <c r="C38" t="s">
        <v>59</v>
      </c>
      <c r="D38" t="s">
        <v>57</v>
      </c>
      <c r="E38">
        <v>35</v>
      </c>
      <c r="F38">
        <v>3</v>
      </c>
      <c r="G38">
        <v>8</v>
      </c>
      <c r="H38" t="s">
        <v>57</v>
      </c>
      <c r="I38">
        <v>1</v>
      </c>
      <c r="J38">
        <v>0.53461440000683003</v>
      </c>
      <c r="K38" t="s">
        <v>48</v>
      </c>
      <c r="L38">
        <v>8</v>
      </c>
      <c r="M38">
        <v>3</v>
      </c>
      <c r="N38">
        <v>35</v>
      </c>
      <c r="O38">
        <v>0</v>
      </c>
      <c r="P38">
        <v>50.051283699925897</v>
      </c>
      <c r="Y38">
        <v>50.038406000006901</v>
      </c>
      <c r="Z38">
        <v>50.051283699925897</v>
      </c>
      <c r="AA38">
        <v>50.551174899912397</v>
      </c>
      <c r="AB38">
        <v>50.551174899912397</v>
      </c>
      <c r="AC38">
        <v>50.551174899912397</v>
      </c>
      <c r="AE38">
        <v>51.101642199908298</v>
      </c>
      <c r="AF38" t="s">
        <v>57</v>
      </c>
      <c r="AG38">
        <v>1</v>
      </c>
      <c r="AH38">
        <v>0.53461440000683003</v>
      </c>
      <c r="AI38" t="s">
        <v>48</v>
      </c>
      <c r="AN38">
        <v>20</v>
      </c>
      <c r="AO38">
        <v>1</v>
      </c>
      <c r="AP38" t="s">
        <v>49</v>
      </c>
      <c r="AQ38" t="s">
        <v>50</v>
      </c>
      <c r="AS38" t="s">
        <v>51</v>
      </c>
      <c r="AT38">
        <v>59.7177500321962</v>
      </c>
      <c r="AU38" t="s">
        <v>52</v>
      </c>
    </row>
    <row r="39" spans="1:47" x14ac:dyDescent="0.3">
      <c r="A39" t="s">
        <v>53</v>
      </c>
      <c r="B39" t="s">
        <v>54</v>
      </c>
      <c r="C39" t="s">
        <v>60</v>
      </c>
      <c r="D39" t="s">
        <v>55</v>
      </c>
      <c r="E39">
        <v>36</v>
      </c>
      <c r="F39">
        <v>0</v>
      </c>
      <c r="G39">
        <v>9</v>
      </c>
      <c r="H39" t="s">
        <v>57</v>
      </c>
      <c r="I39">
        <v>0</v>
      </c>
      <c r="J39">
        <v>0.35381979995872798</v>
      </c>
      <c r="K39" t="s">
        <v>48</v>
      </c>
      <c r="L39">
        <v>9</v>
      </c>
      <c r="M39">
        <v>0</v>
      </c>
      <c r="N39">
        <v>36</v>
      </c>
      <c r="O39">
        <v>1</v>
      </c>
      <c r="P39">
        <v>51.117623499943797</v>
      </c>
      <c r="Y39">
        <v>51.102352499961803</v>
      </c>
      <c r="Z39">
        <v>51.117623499943797</v>
      </c>
      <c r="AA39">
        <v>51.601255199988302</v>
      </c>
      <c r="AB39">
        <v>51.601255199988302</v>
      </c>
      <c r="AC39">
        <v>51.601255199988302</v>
      </c>
      <c r="AE39">
        <v>51.968411699985097</v>
      </c>
      <c r="AF39" t="s">
        <v>57</v>
      </c>
      <c r="AG39">
        <v>0</v>
      </c>
      <c r="AH39">
        <v>0.35381979995872798</v>
      </c>
      <c r="AI39" t="s">
        <v>48</v>
      </c>
      <c r="AN39">
        <v>20</v>
      </c>
      <c r="AO39">
        <v>1</v>
      </c>
      <c r="AP39" t="s">
        <v>49</v>
      </c>
      <c r="AQ39" t="s">
        <v>50</v>
      </c>
      <c r="AS39" t="s">
        <v>51</v>
      </c>
      <c r="AT39">
        <v>59.7177500321962</v>
      </c>
      <c r="AU39" t="s">
        <v>52</v>
      </c>
    </row>
    <row r="40" spans="1:47" x14ac:dyDescent="0.3">
      <c r="A40" t="s">
        <v>58</v>
      </c>
      <c r="B40" t="s">
        <v>56</v>
      </c>
      <c r="C40" t="s">
        <v>60</v>
      </c>
      <c r="D40" t="s">
        <v>57</v>
      </c>
      <c r="E40">
        <v>37</v>
      </c>
      <c r="F40">
        <v>1</v>
      </c>
      <c r="G40">
        <v>9</v>
      </c>
      <c r="H40" t="s">
        <v>55</v>
      </c>
      <c r="I40">
        <v>0</v>
      </c>
      <c r="J40">
        <v>0.32739460002630899</v>
      </c>
      <c r="K40" t="s">
        <v>48</v>
      </c>
      <c r="L40">
        <v>9</v>
      </c>
      <c r="M40">
        <v>1</v>
      </c>
      <c r="N40">
        <v>37</v>
      </c>
      <c r="O40">
        <v>2</v>
      </c>
      <c r="P40">
        <v>51.984818700002499</v>
      </c>
      <c r="Y40">
        <v>51.971427199896397</v>
      </c>
      <c r="Z40">
        <v>51.984818700002499</v>
      </c>
      <c r="AA40">
        <v>52.467962999944497</v>
      </c>
      <c r="AB40">
        <v>52.467962999944497</v>
      </c>
      <c r="AC40">
        <v>52.467962999944497</v>
      </c>
      <c r="AE40">
        <v>52.801618499914099</v>
      </c>
      <c r="AF40" t="s">
        <v>55</v>
      </c>
      <c r="AG40">
        <v>0</v>
      </c>
      <c r="AH40">
        <v>0.32739460002630899</v>
      </c>
      <c r="AI40" t="s">
        <v>48</v>
      </c>
      <c r="AN40">
        <v>20</v>
      </c>
      <c r="AO40">
        <v>1</v>
      </c>
      <c r="AP40" t="s">
        <v>49</v>
      </c>
      <c r="AQ40" t="s">
        <v>50</v>
      </c>
      <c r="AS40" t="s">
        <v>51</v>
      </c>
      <c r="AT40">
        <v>59.7177500321962</v>
      </c>
      <c r="AU40" t="s">
        <v>52</v>
      </c>
    </row>
    <row r="41" spans="1:47" x14ac:dyDescent="0.3">
      <c r="A41" t="s">
        <v>58</v>
      </c>
      <c r="B41" t="s">
        <v>54</v>
      </c>
      <c r="C41" t="s">
        <v>59</v>
      </c>
      <c r="D41" t="s">
        <v>55</v>
      </c>
      <c r="E41">
        <v>38</v>
      </c>
      <c r="F41">
        <v>2</v>
      </c>
      <c r="G41">
        <v>9</v>
      </c>
      <c r="H41" t="s">
        <v>55</v>
      </c>
      <c r="I41">
        <v>1</v>
      </c>
      <c r="J41">
        <v>0.38375040004029798</v>
      </c>
      <c r="K41" t="s">
        <v>48</v>
      </c>
      <c r="L41">
        <v>9</v>
      </c>
      <c r="M41">
        <v>2</v>
      </c>
      <c r="N41">
        <v>38</v>
      </c>
      <c r="O41">
        <v>3</v>
      </c>
      <c r="P41">
        <v>52.817679299972902</v>
      </c>
      <c r="Y41">
        <v>52.802406499977202</v>
      </c>
      <c r="Z41">
        <v>52.817679299972902</v>
      </c>
      <c r="AA41">
        <v>53.301176499924601</v>
      </c>
      <c r="AB41">
        <v>53.301176499924601</v>
      </c>
      <c r="AC41">
        <v>53.301176499924601</v>
      </c>
      <c r="AE41">
        <v>53.702417499967801</v>
      </c>
      <c r="AF41" t="s">
        <v>55</v>
      </c>
      <c r="AG41">
        <v>1</v>
      </c>
      <c r="AH41">
        <v>0.38375040004029798</v>
      </c>
      <c r="AI41" t="s">
        <v>48</v>
      </c>
      <c r="AN41">
        <v>20</v>
      </c>
      <c r="AO41">
        <v>1</v>
      </c>
      <c r="AP41" t="s">
        <v>49</v>
      </c>
      <c r="AQ41" t="s">
        <v>50</v>
      </c>
      <c r="AS41" t="s">
        <v>51</v>
      </c>
      <c r="AT41">
        <v>59.7177500321962</v>
      </c>
      <c r="AU41" t="s">
        <v>52</v>
      </c>
    </row>
    <row r="42" spans="1:47" x14ac:dyDescent="0.3">
      <c r="A42" t="s">
        <v>53</v>
      </c>
      <c r="B42" t="s">
        <v>56</v>
      </c>
      <c r="C42" t="s">
        <v>59</v>
      </c>
      <c r="D42" t="s">
        <v>57</v>
      </c>
      <c r="E42">
        <v>39</v>
      </c>
      <c r="F42">
        <v>3</v>
      </c>
      <c r="G42">
        <v>9</v>
      </c>
      <c r="H42" t="s">
        <v>57</v>
      </c>
      <c r="I42">
        <v>1</v>
      </c>
      <c r="J42">
        <v>0.47721159993670798</v>
      </c>
      <c r="K42" t="s">
        <v>48</v>
      </c>
      <c r="L42">
        <v>9</v>
      </c>
      <c r="M42">
        <v>3</v>
      </c>
      <c r="N42">
        <v>39</v>
      </c>
      <c r="O42">
        <v>0</v>
      </c>
      <c r="P42">
        <v>53.717823799932297</v>
      </c>
      <c r="Y42">
        <v>53.707467100000898</v>
      </c>
      <c r="Z42">
        <v>53.717823799932297</v>
      </c>
      <c r="AA42">
        <v>54.2177447999129</v>
      </c>
      <c r="AB42">
        <v>54.2177447999129</v>
      </c>
      <c r="AC42">
        <v>54.2177447999129</v>
      </c>
      <c r="AE42">
        <v>54.702363199903601</v>
      </c>
      <c r="AF42" t="s">
        <v>57</v>
      </c>
      <c r="AG42">
        <v>1</v>
      </c>
      <c r="AH42">
        <v>0.47721159993670798</v>
      </c>
      <c r="AI42" t="s">
        <v>48</v>
      </c>
      <c r="AN42">
        <v>20</v>
      </c>
      <c r="AO42">
        <v>1</v>
      </c>
      <c r="AP42" t="s">
        <v>49</v>
      </c>
      <c r="AQ42" t="s">
        <v>50</v>
      </c>
      <c r="AS42" t="s">
        <v>51</v>
      </c>
      <c r="AT42">
        <v>59.7177500321962</v>
      </c>
      <c r="AU42" t="s">
        <v>52</v>
      </c>
    </row>
    <row r="43" spans="1:47" ht="15" thickBot="1" x14ac:dyDescent="0.35">
      <c r="AJ43">
        <v>54.702696699998299</v>
      </c>
      <c r="AK43">
        <v>54.7178864999441</v>
      </c>
      <c r="AL43">
        <v>55.717788399895603</v>
      </c>
      <c r="AM43">
        <v>55.7014306999044</v>
      </c>
      <c r="AN43">
        <v>20</v>
      </c>
      <c r="AO43">
        <v>1</v>
      </c>
      <c r="AP43" t="s">
        <v>49</v>
      </c>
      <c r="AQ43" t="s">
        <v>50</v>
      </c>
      <c r="AS43" t="s">
        <v>51</v>
      </c>
      <c r="AT43">
        <v>59.7177500321962</v>
      </c>
      <c r="AU43" t="s">
        <v>52</v>
      </c>
    </row>
    <row r="44" spans="1:47" x14ac:dyDescent="0.3">
      <c r="C44" t="e">
        <f>AVERAGE(D3:D42)</f>
        <v>#DIV/0!</v>
      </c>
      <c r="H44" s="1" t="s">
        <v>66</v>
      </c>
      <c r="I44" s="2">
        <f>AVERAGE(I3:I42)</f>
        <v>0.95</v>
      </c>
      <c r="J44" s="3">
        <f>AVERAGE(J3:J42)</f>
        <v>0.7610743549972534</v>
      </c>
    </row>
    <row r="45" spans="1:47" x14ac:dyDescent="0.3">
      <c r="H45" s="4" t="s">
        <v>63</v>
      </c>
      <c r="I45" s="5">
        <f>STDEVA(I3:I42)</f>
        <v>0.22072142786315216</v>
      </c>
      <c r="J45" s="6">
        <f>STDEVA(J3:J42)</f>
        <v>0.86186423820518088</v>
      </c>
    </row>
    <row r="46" spans="1:47" ht="15" thickBot="1" x14ac:dyDescent="0.35">
      <c r="C46">
        <f>COUNTIF(C3:C42,"Congruent")</f>
        <v>20</v>
      </c>
      <c r="D46" t="s">
        <v>64</v>
      </c>
      <c r="H46" s="7" t="s">
        <v>65</v>
      </c>
      <c r="I46" s="8">
        <f>I45/SQRT(40)</f>
        <v>3.4899122022605623E-2</v>
      </c>
      <c r="J46" s="9">
        <f>J45/SQRT(40)</f>
        <v>0.13627270132871411</v>
      </c>
    </row>
    <row r="47" spans="1:47" x14ac:dyDescent="0.3">
      <c r="C47">
        <f>COUNTIFS(C3:C42,"Congruent",I3:I42,0)</f>
        <v>0</v>
      </c>
      <c r="H47" t="s">
        <v>61</v>
      </c>
      <c r="J47">
        <f>AVERAGEIFS(J3:J42,C3:C42,"Congruent",I3:I42,1)</f>
        <v>0.59275067499838685</v>
      </c>
    </row>
    <row r="48" spans="1:47" x14ac:dyDescent="0.3">
      <c r="C48">
        <f>(COUNTIFS(C3:C42,"Incongruent",I3:I42,0)/COUNTIF(C3:C42,"Incongruent"))*100</f>
        <v>10</v>
      </c>
      <c r="D48" t="s">
        <v>67</v>
      </c>
      <c r="H48" t="s">
        <v>62</v>
      </c>
      <c r="J48">
        <f>AVERAGEIFS(J3:J42,C3:C42,"Incongruent",I3:I42,1)</f>
        <v>0.99481923888540869</v>
      </c>
    </row>
    <row r="49" spans="2:13" x14ac:dyDescent="0.3">
      <c r="F49" t="s">
        <v>63</v>
      </c>
      <c r="H49" t="e">
        <f>_xlfn.STDEV.S(IF((C3:C42="Congruent")*(I3:I42=1),J3:J42))</f>
        <v>#VALUE!</v>
      </c>
    </row>
    <row r="54" spans="2:13" ht="16.8" x14ac:dyDescent="0.3">
      <c r="B54" s="10" t="s">
        <v>70</v>
      </c>
    </row>
    <row r="55" spans="2:13" x14ac:dyDescent="0.3">
      <c r="B55" s="11" t="s">
        <v>71</v>
      </c>
    </row>
    <row r="56" spans="2:13" ht="15" thickBot="1" x14ac:dyDescent="0.35">
      <c r="B56" s="14" t="s">
        <v>71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2:13" ht="15" thickBot="1" x14ac:dyDescent="0.35">
      <c r="B57" s="15" t="s">
        <v>72</v>
      </c>
      <c r="C57" s="15"/>
      <c r="D57" s="15"/>
      <c r="E57" s="15"/>
      <c r="F57" s="15" t="s">
        <v>73</v>
      </c>
      <c r="G57" s="15"/>
      <c r="H57" s="15" t="s">
        <v>74</v>
      </c>
      <c r="I57" s="15"/>
      <c r="J57" s="15" t="s">
        <v>75</v>
      </c>
      <c r="K57" s="15"/>
      <c r="L57" s="15" t="s">
        <v>76</v>
      </c>
      <c r="M57" s="15"/>
    </row>
    <row r="58" spans="2:13" ht="19.2" x14ac:dyDescent="0.3">
      <c r="B58" s="12" t="s">
        <v>59</v>
      </c>
      <c r="C58" s="12"/>
      <c r="D58" s="13" t="s">
        <v>77</v>
      </c>
      <c r="E58" s="12"/>
      <c r="F58" s="12" t="s">
        <v>78</v>
      </c>
      <c r="G58" s="12"/>
      <c r="H58" s="13">
        <v>-1.516</v>
      </c>
      <c r="I58" s="12"/>
      <c r="J58" s="13">
        <v>19</v>
      </c>
      <c r="K58" s="12"/>
      <c r="L58" s="13">
        <v>0.14599999999999999</v>
      </c>
      <c r="M58" s="12"/>
    </row>
    <row r="59" spans="2:13" ht="15" thickBot="1" x14ac:dyDescent="0.3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 spans="2:13" x14ac:dyDescent="0.3">
      <c r="B60" s="17" t="s">
        <v>79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2" spans="2:13" x14ac:dyDescent="0.3">
      <c r="B62" s="18" t="s">
        <v>80</v>
      </c>
    </row>
    <row r="63" spans="2:13" ht="15" thickBot="1" x14ac:dyDescent="0.35">
      <c r="B63" s="14" t="s">
        <v>80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2:13" ht="15" thickBot="1" x14ac:dyDescent="0.35">
      <c r="B64" s="15"/>
      <c r="C64" s="15"/>
      <c r="D64" s="15" t="s">
        <v>81</v>
      </c>
      <c r="E64" s="15"/>
      <c r="F64" s="15" t="s">
        <v>82</v>
      </c>
      <c r="G64" s="15"/>
      <c r="H64" s="15" t="s">
        <v>63</v>
      </c>
      <c r="I64" s="15"/>
      <c r="J64" s="15" t="s">
        <v>65</v>
      </c>
      <c r="K64" s="15"/>
      <c r="L64" s="15" t="s">
        <v>83</v>
      </c>
      <c r="M64" s="15"/>
    </row>
    <row r="65" spans="2:13" x14ac:dyDescent="0.3">
      <c r="B65" s="12" t="s">
        <v>59</v>
      </c>
      <c r="C65" s="12"/>
      <c r="D65" s="13">
        <v>20</v>
      </c>
      <c r="E65" s="12"/>
      <c r="F65" s="13">
        <v>0.59299999999999997</v>
      </c>
      <c r="G65" s="12"/>
      <c r="H65" s="13">
        <v>0.25</v>
      </c>
      <c r="I65" s="12"/>
      <c r="J65" s="13">
        <v>5.6000000000000001E-2</v>
      </c>
      <c r="K65" s="12"/>
      <c r="L65" s="13">
        <v>0.42099999999999999</v>
      </c>
      <c r="M65" s="12"/>
    </row>
    <row r="66" spans="2:13" ht="19.2" x14ac:dyDescent="0.3">
      <c r="B66" s="12" t="s">
        <v>78</v>
      </c>
      <c r="C66" s="12"/>
      <c r="D66" s="13">
        <v>20</v>
      </c>
      <c r="E66" s="12"/>
      <c r="F66" s="13">
        <v>0.92900000000000005</v>
      </c>
      <c r="G66" s="12"/>
      <c r="H66" s="13">
        <v>1.1839999999999999</v>
      </c>
      <c r="I66" s="12"/>
      <c r="J66" s="13">
        <v>0.26500000000000001</v>
      </c>
      <c r="K66" s="12"/>
      <c r="L66" s="13">
        <v>1.274</v>
      </c>
      <c r="M66" s="12"/>
    </row>
    <row r="67" spans="2:13" ht="15" thickBot="1" x14ac:dyDescent="0.3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9" spans="2:13" x14ac:dyDescent="0.3">
      <c r="B69" s="19" t="s">
        <v>84</v>
      </c>
    </row>
    <row r="70" spans="2:13" x14ac:dyDescent="0.3">
      <c r="B70" s="19" t="s">
        <v>85</v>
      </c>
    </row>
    <row r="74" spans="2:13" x14ac:dyDescent="0.3">
      <c r="B74" s="19" t="s">
        <v>86</v>
      </c>
    </row>
    <row r="75" spans="2:13" x14ac:dyDescent="0.3">
      <c r="B75" s="19" t="s">
        <v>85</v>
      </c>
    </row>
  </sheetData>
  <autoFilter ref="C2:C42"/>
  <mergeCells count="17">
    <mergeCell ref="B67:M67"/>
    <mergeCell ref="B59:M59"/>
    <mergeCell ref="B60:M60"/>
    <mergeCell ref="B63:M63"/>
    <mergeCell ref="B64:C64"/>
    <mergeCell ref="D64:E64"/>
    <mergeCell ref="F64:G64"/>
    <mergeCell ref="H64:I64"/>
    <mergeCell ref="J64:K64"/>
    <mergeCell ref="L64:M64"/>
    <mergeCell ref="B56:M56"/>
    <mergeCell ref="B57:C57"/>
    <mergeCell ref="D57:E57"/>
    <mergeCell ref="F57:G57"/>
    <mergeCell ref="H57:I57"/>
    <mergeCell ref="J57:K57"/>
    <mergeCell ref="L57:M5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2025-08-24T17:31:09Z</dcterms:created>
  <dcterms:modified xsi:type="dcterms:W3CDTF">2025-08-25T14:29:06Z</dcterms:modified>
</cp:coreProperties>
</file>