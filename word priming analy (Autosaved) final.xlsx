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Word Priming\"/>
    </mc:Choice>
  </mc:AlternateContent>
  <bookViews>
    <workbookView xWindow="0" yWindow="0" windowWidth="22476" windowHeight="9048" activeTab="3"/>
  </bookViews>
  <sheets>
    <sheet name="p1" sheetId="1" r:id="rId1"/>
    <sheet name="p2" sheetId="2" r:id="rId2"/>
    <sheet name="p3" sheetId="3" r:id="rId3"/>
    <sheet name="p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" i="4" l="1"/>
  <c r="M40" i="4"/>
  <c r="K40" i="3"/>
  <c r="K39" i="3"/>
  <c r="K39" i="2"/>
  <c r="K38" i="2"/>
  <c r="M38" i="2"/>
  <c r="I40" i="1"/>
  <c r="I39" i="1"/>
  <c r="G42" i="1" l="1"/>
  <c r="I41" i="2"/>
  <c r="I42" i="3" l="1"/>
  <c r="K42" i="4"/>
</calcChain>
</file>

<file path=xl/sharedStrings.xml><?xml version="1.0" encoding="utf-8"?>
<sst xmlns="http://schemas.openxmlformats.org/spreadsheetml/2006/main" count="2514" uniqueCount="243">
  <si>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</si>
  <si>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</si>
  <si>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</si>
  <si>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</si>
  <si>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</si>
  <si>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</si>
  <si>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</si>
  <si>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Refence</t>
  </si>
  <si>
    <t>Old_new</t>
  </si>
  <si>
    <t>text_textbox.text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</si>
  <si>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</si>
  <si>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</si>
  <si>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</si>
  <si>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</si>
  <si>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</si>
  <si>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</si>
  <si>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</si>
  <si>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</si>
  <si>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</si>
  <si>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</si>
  <si>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</si>
  <si>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</si>
  <si>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</si>
  <si>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</si>
  <si>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</si>
  <si>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</si>
  <si>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</si>
  <si>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</si>
  <si>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</si>
  <si>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</si>
  <si>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</si>
  <si>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</si>
  <si>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</si>
  <si>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</si>
  <si>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</si>
  <si>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text_textbox.started</t>
  </si>
  <si>
    <t>submit_text.started</t>
  </si>
  <si>
    <t>testmouse.started</t>
  </si>
  <si>
    <t>test.stopped</t>
  </si>
  <si>
    <t>trials_2.text_textbox.text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</si>
  <si>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</si>
  <si>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</si>
  <si>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</si>
  <si>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</si>
  <si>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</si>
  <si>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</si>
  <si>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</si>
  <si>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</si>
  <si>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</si>
  <si>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</si>
  <si>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</si>
  <si>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</si>
  <si>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</si>
  <si>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</si>
  <si>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</si>
  <si>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</si>
  <si>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marble</t>
  </si>
  <si>
    <t>p1</t>
  </si>
  <si>
    <t>2025-10-10_23h11.09.626</t>
  </si>
  <si>
    <t>word priming</t>
  </si>
  <si>
    <t>2025.1.1</t>
  </si>
  <si>
    <t>2025-10-10 23h11.19.539968 +0530</t>
  </si>
  <si>
    <t>board</t>
  </si>
  <si>
    <t>T-shirt</t>
  </si>
  <si>
    <t>Cruise</t>
  </si>
  <si>
    <t>Case</t>
  </si>
  <si>
    <t>Pastry</t>
  </si>
  <si>
    <t>Laptop</t>
  </si>
  <si>
    <t>Poster</t>
  </si>
  <si>
    <t>mouse</t>
  </si>
  <si>
    <t>Chart</t>
  </si>
  <si>
    <t>book</t>
  </si>
  <si>
    <t>Keys</t>
  </si>
  <si>
    <t>cushion</t>
  </si>
  <si>
    <t>phone</t>
  </si>
  <si>
    <t>Police</t>
  </si>
  <si>
    <t>P_st_r</t>
  </si>
  <si>
    <t>Old</t>
  </si>
  <si>
    <t>pastry</t>
  </si>
  <si>
    <t>[np.float64(0.08981481481481482)]</t>
  </si>
  <si>
    <t>[np.float64(-0.31666666666666665)]</t>
  </si>
  <si>
    <t>[1]</t>
  </si>
  <si>
    <t>[0]</t>
  </si>
  <si>
    <t>[8.485352599993348]</t>
  </si>
  <si>
    <t>['submit_text']</t>
  </si>
  <si>
    <t>_o_rd</t>
  </si>
  <si>
    <t>Board</t>
  </si>
  <si>
    <t>[np.float64(0.07592592592592592)]</t>
  </si>
  <si>
    <t>[np.float64(-0.30462962962962964)]</t>
  </si>
  <si>
    <t>[9.541278499993496]</t>
  </si>
  <si>
    <t>_ru_is_</t>
  </si>
  <si>
    <t>cruise</t>
  </si>
  <si>
    <t>[5.079858900047839]</t>
  </si>
  <si>
    <t>_a_ble_</t>
  </si>
  <si>
    <t>Marble</t>
  </si>
  <si>
    <t>[4.5453074999386445]</t>
  </si>
  <si>
    <t>_ho_e</t>
  </si>
  <si>
    <t>Phone</t>
  </si>
  <si>
    <t>whole</t>
  </si>
  <si>
    <t>[14.962415200076066]</t>
  </si>
  <si>
    <t>_ou_se</t>
  </si>
  <si>
    <t>[5.029583499999717]</t>
  </si>
  <si>
    <t>c_m_ra</t>
  </si>
  <si>
    <t>Camera</t>
  </si>
  <si>
    <t>new</t>
  </si>
  <si>
    <t>camera</t>
  </si>
  <si>
    <t>[4.945327800000086]</t>
  </si>
  <si>
    <t>c_s_</t>
  </si>
  <si>
    <t>case</t>
  </si>
  <si>
    <t>[3.9621103999670595]</t>
  </si>
  <si>
    <t>T_hi_r</t>
  </si>
  <si>
    <t>Tshirt</t>
  </si>
  <si>
    <t>tshir</t>
  </si>
  <si>
    <t>[7.028736499953084]</t>
  </si>
  <si>
    <t>P_li_e</t>
  </si>
  <si>
    <t>police</t>
  </si>
  <si>
    <t>[5.379170499974862]</t>
  </si>
  <si>
    <t>c_s_io_</t>
  </si>
  <si>
    <t xml:space="preserve">Cushion </t>
  </si>
  <si>
    <t>chusion</t>
  </si>
  <si>
    <t>[6.514260399970226]</t>
  </si>
  <si>
    <t>_oo_</t>
  </si>
  <si>
    <t>Book</t>
  </si>
  <si>
    <t>[3.897280600038357]</t>
  </si>
  <si>
    <t>K_y_</t>
  </si>
  <si>
    <t>keys</t>
  </si>
  <si>
    <t>[4.593558300053701]</t>
  </si>
  <si>
    <t>P_as_tr_</t>
  </si>
  <si>
    <t>pastey</t>
  </si>
  <si>
    <t>[13.428996299975552]</t>
  </si>
  <si>
    <t>bo_t_e</t>
  </si>
  <si>
    <t>Bottle</t>
  </si>
  <si>
    <t>bottle</t>
  </si>
  <si>
    <t>[5.911839099950157]</t>
  </si>
  <si>
    <t>V_s_</t>
  </si>
  <si>
    <t>Vase</t>
  </si>
  <si>
    <t>vase</t>
  </si>
  <si>
    <t>[5.074870800017379]</t>
  </si>
  <si>
    <t>_ha_t</t>
  </si>
  <si>
    <t>chart</t>
  </si>
  <si>
    <t>[4.963489800109528]</t>
  </si>
  <si>
    <t>l_pt_p</t>
  </si>
  <si>
    <t>laptop</t>
  </si>
  <si>
    <t>[4.893101099994965]</t>
  </si>
  <si>
    <t>ta_l_</t>
  </si>
  <si>
    <t>Table</t>
  </si>
  <si>
    <t>table</t>
  </si>
  <si>
    <t>[4.992092699976638]</t>
  </si>
  <si>
    <t>p_nc_l</t>
  </si>
  <si>
    <t>Pencil</t>
  </si>
  <si>
    <t xml:space="preserve">pencile </t>
  </si>
  <si>
    <t>[9.696337900008075]</t>
  </si>
  <si>
    <t>p2</t>
  </si>
  <si>
    <t>2025-10-10_23h17.16.052</t>
  </si>
  <si>
    <t>2025-10-10 23h17.51.971598 +0530</t>
  </si>
  <si>
    <t>[np.float64(-0.0712962962962963)]</t>
  </si>
  <si>
    <t>[np.float64(-0.3101851851851852)]</t>
  </si>
  <si>
    <t>[8.700997600099072]</t>
  </si>
  <si>
    <t>poster</t>
  </si>
  <si>
    <t>[4.828048099996522]</t>
  </si>
  <si>
    <t>[5.961338000022806]</t>
  </si>
  <si>
    <t>[3.745815800037235]</t>
  </si>
  <si>
    <t>[5.929680399945937]</t>
  </si>
  <si>
    <t>[5.379950199974701]</t>
  </si>
  <si>
    <t>[3.8936124000465497]</t>
  </si>
  <si>
    <t>[12.147973299957812]</t>
  </si>
  <si>
    <t>[5.225209399941377]</t>
  </si>
  <si>
    <t>[6.375339500023983]</t>
  </si>
  <si>
    <t>[4.544436900061555]</t>
  </si>
  <si>
    <t>[np.float64(-0.041666666666666664)]</t>
  </si>
  <si>
    <t>[np.float64(-0.2953703703703704)]</t>
  </si>
  <si>
    <t>[5.294459099997766]</t>
  </si>
  <si>
    <t>[11.295878399978392]</t>
  </si>
  <si>
    <t>[np.float64(-0.037037037037037035)]</t>
  </si>
  <si>
    <t>[np.float64(-0.29814814814814816)]</t>
  </si>
  <si>
    <t>[16.09517019998748]</t>
  </si>
  <si>
    <t>vas</t>
  </si>
  <si>
    <t>[4.342205199995078]</t>
  </si>
  <si>
    <t>pencil</t>
  </si>
  <si>
    <t>[8.829610000015236]</t>
  </si>
  <si>
    <t>[5.277374599943869]</t>
  </si>
  <si>
    <t>[5.5292040000204]</t>
  </si>
  <si>
    <t>[5.659177600056864]</t>
  </si>
  <si>
    <t>[1.5614770000101998]</t>
  </si>
  <si>
    <t>p3</t>
  </si>
  <si>
    <t>2025-10-10_23h21.33.201</t>
  </si>
  <si>
    <t>2025-10-10 23h22.13.294775 +0530</t>
  </si>
  <si>
    <t>crshion</t>
  </si>
  <si>
    <t>[np.float64(-0.06481481481481481)]</t>
  </si>
  <si>
    <t>[16.13814579998143]</t>
  </si>
  <si>
    <t>[3.4448023000732064]</t>
  </si>
  <si>
    <t>[4.309467799961567]</t>
  </si>
  <si>
    <t>[4.112300299922936]</t>
  </si>
  <si>
    <t>tshirt</t>
  </si>
  <si>
    <t>[np.float64(-0.06111111111111111)]</t>
  </si>
  <si>
    <t>[np.float64(-0.30277777777777776)]</t>
  </si>
  <si>
    <t>[15.247073100064881]</t>
  </si>
  <si>
    <t>[6.144712599925697]</t>
  </si>
  <si>
    <t>[4.227268200018443]</t>
  </si>
  <si>
    <t>[3.4581462999340147]</t>
  </si>
  <si>
    <t>[4.145727400085889]</t>
  </si>
  <si>
    <t>[5.095355700002983]</t>
  </si>
  <si>
    <t>[4.644374699913897]</t>
  </si>
  <si>
    <t>[4.497572800028138]</t>
  </si>
  <si>
    <t>pastery</t>
  </si>
  <si>
    <t>[17.642243499984033]</t>
  </si>
  <si>
    <t>[5.214106199913658]</t>
  </si>
  <si>
    <t>[16.9793287999928]</t>
  </si>
  <si>
    <t>[5.296604200033471]</t>
  </si>
  <si>
    <t>[4.2773648999864236]</t>
  </si>
  <si>
    <t>[3.180869699921459]</t>
  </si>
  <si>
    <t>[6.627171400003135]</t>
  </si>
  <si>
    <t>[7.711657700012438]</t>
  </si>
  <si>
    <t>p4</t>
  </si>
  <si>
    <t>2025-10-10_23h25.46.168</t>
  </si>
  <si>
    <t>2025-10-10 23h25.57.544284 +0530</t>
  </si>
  <si>
    <t>[np.float64(-0.04814814814814815)]</t>
  </si>
  <si>
    <t>[np.float64(-0.2851851851851852)]</t>
  </si>
  <si>
    <t>[8.822765899938531]</t>
  </si>
  <si>
    <t>[9.376185199944302]</t>
  </si>
  <si>
    <t>[np.float64(-0.04537037037037037)]</t>
  </si>
  <si>
    <t>[np.float64(-0.3074074074074074)]</t>
  </si>
  <si>
    <t>[5.931809999980032]</t>
  </si>
  <si>
    <t>[11.228136299992912]</t>
  </si>
  <si>
    <t>[5.011806100024842]</t>
  </si>
  <si>
    <t>[3.9287308999337256]</t>
  </si>
  <si>
    <t>[10.645477800047956]</t>
  </si>
  <si>
    <t>[7.6273082999978215]</t>
  </si>
  <si>
    <t>[5.826450700056739]</t>
  </si>
  <si>
    <t>[5.592385199968703]</t>
  </si>
  <si>
    <t>[4.297735499916598]</t>
  </si>
  <si>
    <t>[11.096100100083277]</t>
  </si>
  <si>
    <t>[4.644166499958374]</t>
  </si>
  <si>
    <t>[4.78006949997507]</t>
  </si>
  <si>
    <t>[19.5144650998991]</t>
  </si>
  <si>
    <t>[5.1105800999794155]</t>
  </si>
  <si>
    <t>[3.3771678999764845]</t>
  </si>
  <si>
    <t>[15.16097379999701]</t>
  </si>
  <si>
    <t>[4.863484999979846]</t>
  </si>
  <si>
    <t>[5.045378800015897]</t>
  </si>
  <si>
    <t xml:space="preserve">prop hit from study list </t>
  </si>
  <si>
    <t xml:space="preserve">prop hit of non primed words </t>
  </si>
  <si>
    <t xml:space="preserve">priming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</si>
</sst>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topLeftCell="A16" workbookViewId="0">
      <selection activeCell="I41" sqref="I41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3.62592592592592</v>
      </c>
      <c r="F2">
        <v>2.92446919996291</v>
      </c>
      <c r="R2">
        <v>0</v>
      </c>
      <c r="S2">
        <v>0</v>
      </c>
      <c r="T2">
        <v>0</v>
      </c>
      <c r="U2">
        <v>3</v>
      </c>
      <c r="Z2">
        <v>4.5909099979326101E-2</v>
      </c>
      <c r="AB2">
        <v>3.3496099989861201E-2</v>
      </c>
      <c r="AC2">
        <v>4.5909099979326101E-2</v>
      </c>
      <c r="AD2">
        <v>4.5909099979326101E-2</v>
      </c>
      <c r="AE2">
        <v>2.9739320999942702</v>
      </c>
      <c r="AF2">
        <v>3.62592592592592</v>
      </c>
      <c r="AG2">
        <v>2.92446919996291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60.006252643251003</v>
      </c>
      <c r="BD2" t="s">
        <v>61</v>
      </c>
    </row>
    <row r="3" spans="1:56" x14ac:dyDescent="0.3">
      <c r="A3" t="s">
        <v>62</v>
      </c>
      <c r="B3">
        <v>1</v>
      </c>
      <c r="C3">
        <v>1</v>
      </c>
      <c r="D3">
        <v>0</v>
      </c>
      <c r="E3">
        <v>2.2851851851851799</v>
      </c>
      <c r="F3">
        <v>2.88021370000205</v>
      </c>
      <c r="R3">
        <v>0</v>
      </c>
      <c r="S3">
        <v>1</v>
      </c>
      <c r="T3">
        <v>1</v>
      </c>
      <c r="U3">
        <v>4</v>
      </c>
      <c r="Z3">
        <v>2.9899446000344998</v>
      </c>
      <c r="AB3">
        <v>2.9779278000351002</v>
      </c>
      <c r="AC3">
        <v>2.9899446000344998</v>
      </c>
      <c r="AD3">
        <v>2.9899446000344998</v>
      </c>
      <c r="AE3">
        <v>5.8740793999750096</v>
      </c>
      <c r="AF3">
        <v>2.2851851851851799</v>
      </c>
      <c r="AG3">
        <v>2.88021370000205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60.006252643251003</v>
      </c>
      <c r="BD3" t="s">
        <v>61</v>
      </c>
    </row>
    <row r="4" spans="1:56" x14ac:dyDescent="0.3">
      <c r="A4" t="s">
        <v>63</v>
      </c>
      <c r="B4">
        <v>2</v>
      </c>
      <c r="C4">
        <v>2</v>
      </c>
      <c r="D4">
        <v>0</v>
      </c>
      <c r="E4">
        <v>3.3518518518518499</v>
      </c>
      <c r="F4">
        <v>1.90949240000918</v>
      </c>
      <c r="R4">
        <v>0</v>
      </c>
      <c r="S4">
        <v>2</v>
      </c>
      <c r="T4">
        <v>2</v>
      </c>
      <c r="U4">
        <v>7</v>
      </c>
      <c r="Z4">
        <v>5.8896176000125697</v>
      </c>
      <c r="AB4">
        <v>5.8818661000113899</v>
      </c>
      <c r="AC4">
        <v>5.8896176000125697</v>
      </c>
      <c r="AD4">
        <v>5.8896176000125697</v>
      </c>
      <c r="AE4">
        <v>7.80733590002637</v>
      </c>
      <c r="AF4">
        <v>3.3518518518518499</v>
      </c>
      <c r="AG4">
        <v>1.90949240000918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60.006252643251003</v>
      </c>
      <c r="BD4" t="s">
        <v>61</v>
      </c>
    </row>
    <row r="5" spans="1:56" x14ac:dyDescent="0.3">
      <c r="A5" t="s">
        <v>64</v>
      </c>
      <c r="B5">
        <v>3</v>
      </c>
      <c r="C5">
        <v>3</v>
      </c>
      <c r="D5">
        <v>0</v>
      </c>
      <c r="E5">
        <v>3.4629629629629601</v>
      </c>
      <c r="F5">
        <v>1.8315594999585301</v>
      </c>
      <c r="R5">
        <v>0</v>
      </c>
      <c r="S5">
        <v>3</v>
      </c>
      <c r="T5">
        <v>3</v>
      </c>
      <c r="U5">
        <v>11</v>
      </c>
      <c r="Z5">
        <v>7.8230362000176603</v>
      </c>
      <c r="AB5">
        <v>7.8102158999536098</v>
      </c>
      <c r="AC5">
        <v>7.8230362000176603</v>
      </c>
      <c r="AD5">
        <v>7.8230362000176603</v>
      </c>
      <c r="AE5">
        <v>9.65753049997147</v>
      </c>
      <c r="AF5">
        <v>3.4629629629629601</v>
      </c>
      <c r="AG5">
        <v>1.8315594999585301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60.006252643251003</v>
      </c>
      <c r="BD5" t="s">
        <v>61</v>
      </c>
    </row>
    <row r="6" spans="1:56" x14ac:dyDescent="0.3">
      <c r="A6" t="s">
        <v>65</v>
      </c>
      <c r="B6">
        <v>4</v>
      </c>
      <c r="C6">
        <v>4</v>
      </c>
      <c r="D6">
        <v>0</v>
      </c>
      <c r="E6">
        <v>1.55185185185185</v>
      </c>
      <c r="F6">
        <v>1.6966596000129299</v>
      </c>
      <c r="R6">
        <v>0</v>
      </c>
      <c r="S6">
        <v>4</v>
      </c>
      <c r="T6">
        <v>4</v>
      </c>
      <c r="U6">
        <v>10</v>
      </c>
      <c r="Z6">
        <v>9.6730068000033498</v>
      </c>
      <c r="AB6">
        <v>9.6613912000320799</v>
      </c>
      <c r="AC6">
        <v>9.6730068000033498</v>
      </c>
      <c r="AD6">
        <v>9.6730068000033498</v>
      </c>
      <c r="AE6">
        <v>11.374184899963399</v>
      </c>
      <c r="AF6">
        <v>1.55185185185185</v>
      </c>
      <c r="AG6">
        <v>1.6966596000129299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60.006252643251003</v>
      </c>
      <c r="BD6" t="s">
        <v>61</v>
      </c>
    </row>
    <row r="7" spans="1:56" x14ac:dyDescent="0.3">
      <c r="A7" t="s">
        <v>66</v>
      </c>
      <c r="B7">
        <v>5</v>
      </c>
      <c r="C7">
        <v>5</v>
      </c>
      <c r="D7">
        <v>0</v>
      </c>
      <c r="E7">
        <v>3.31481481481481</v>
      </c>
      <c r="F7">
        <v>1.74066290003247</v>
      </c>
      <c r="R7">
        <v>0</v>
      </c>
      <c r="S7">
        <v>5</v>
      </c>
      <c r="T7">
        <v>5</v>
      </c>
      <c r="U7">
        <v>9</v>
      </c>
      <c r="Z7">
        <v>11.393647299963</v>
      </c>
      <c r="AB7">
        <v>11.3845121000194</v>
      </c>
      <c r="AC7">
        <v>11.393647299963</v>
      </c>
      <c r="AD7">
        <v>11.393647299963</v>
      </c>
      <c r="AE7">
        <v>13.140540799940901</v>
      </c>
      <c r="AF7">
        <v>3.31481481481481</v>
      </c>
      <c r="AG7">
        <v>1.74066290003247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60.006252643251003</v>
      </c>
      <c r="BD7" t="s">
        <v>61</v>
      </c>
    </row>
    <row r="8" spans="1:56" x14ac:dyDescent="0.3">
      <c r="A8" t="s">
        <v>67</v>
      </c>
      <c r="B8">
        <v>6</v>
      </c>
      <c r="C8">
        <v>6</v>
      </c>
      <c r="D8">
        <v>0</v>
      </c>
      <c r="E8">
        <v>1.38888888888888</v>
      </c>
      <c r="F8">
        <v>1.6108552999794401</v>
      </c>
      <c r="R8">
        <v>0</v>
      </c>
      <c r="S8">
        <v>6</v>
      </c>
      <c r="T8">
        <v>6</v>
      </c>
      <c r="U8">
        <v>5</v>
      </c>
      <c r="Z8">
        <v>13.1565240999916</v>
      </c>
      <c r="AB8">
        <v>13.147186300018801</v>
      </c>
      <c r="AC8">
        <v>13.1565240999916</v>
      </c>
      <c r="AD8">
        <v>13.1565240999916</v>
      </c>
      <c r="AE8">
        <v>14.773918999940999</v>
      </c>
      <c r="AF8">
        <v>1.38888888888888</v>
      </c>
      <c r="AG8">
        <v>1.6108552999794401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60.006252643251003</v>
      </c>
      <c r="BD8" t="s">
        <v>61</v>
      </c>
    </row>
    <row r="9" spans="1:56" x14ac:dyDescent="0.3">
      <c r="A9" t="s">
        <v>68</v>
      </c>
      <c r="B9">
        <v>7</v>
      </c>
      <c r="C9">
        <v>7</v>
      </c>
      <c r="D9">
        <v>0</v>
      </c>
      <c r="E9">
        <v>1.48888888888888</v>
      </c>
      <c r="F9">
        <v>1.43069050007034</v>
      </c>
      <c r="R9">
        <v>0</v>
      </c>
      <c r="S9">
        <v>7</v>
      </c>
      <c r="T9">
        <v>7</v>
      </c>
      <c r="U9">
        <v>14</v>
      </c>
      <c r="Z9">
        <v>14.7896968999411</v>
      </c>
      <c r="AB9">
        <v>14.7774059999501</v>
      </c>
      <c r="AC9">
        <v>14.7896968999411</v>
      </c>
      <c r="AD9">
        <v>14.7896968999411</v>
      </c>
      <c r="AE9">
        <v>16.223755300044999</v>
      </c>
      <c r="AF9">
        <v>1.48888888888888</v>
      </c>
      <c r="AG9">
        <v>1.43069050007034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60.006252643251003</v>
      </c>
      <c r="BD9" t="s">
        <v>61</v>
      </c>
    </row>
    <row r="10" spans="1:56" x14ac:dyDescent="0.3">
      <c r="A10" t="s">
        <v>69</v>
      </c>
      <c r="B10">
        <v>8</v>
      </c>
      <c r="C10">
        <v>8</v>
      </c>
      <c r="D10">
        <v>0</v>
      </c>
      <c r="E10">
        <v>1.48888888888888</v>
      </c>
      <c r="F10">
        <v>1.0491673999931601</v>
      </c>
      <c r="R10">
        <v>0</v>
      </c>
      <c r="S10">
        <v>8</v>
      </c>
      <c r="T10">
        <v>8</v>
      </c>
      <c r="U10">
        <v>8</v>
      </c>
      <c r="Z10">
        <v>16.2398360000224</v>
      </c>
      <c r="AB10">
        <v>16.226005499949601</v>
      </c>
      <c r="AC10">
        <v>16.2398360000224</v>
      </c>
      <c r="AD10">
        <v>16.2398360000224</v>
      </c>
      <c r="AE10">
        <v>17.291204600012801</v>
      </c>
      <c r="AF10">
        <v>1.48888888888888</v>
      </c>
      <c r="AG10">
        <v>1.0491673999931601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60.006252643251003</v>
      </c>
      <c r="BD10" t="s">
        <v>61</v>
      </c>
    </row>
    <row r="11" spans="1:56" x14ac:dyDescent="0.3">
      <c r="A11" t="s">
        <v>70</v>
      </c>
      <c r="B11">
        <v>9</v>
      </c>
      <c r="C11">
        <v>9</v>
      </c>
      <c r="D11">
        <v>0</v>
      </c>
      <c r="E11">
        <v>4.6888888888888802</v>
      </c>
      <c r="F11">
        <v>2.0795833000447601</v>
      </c>
      <c r="R11">
        <v>0</v>
      </c>
      <c r="S11">
        <v>9</v>
      </c>
      <c r="T11">
        <v>9</v>
      </c>
      <c r="U11">
        <v>6</v>
      </c>
      <c r="Z11">
        <v>17.307074400014201</v>
      </c>
      <c r="AB11">
        <v>17.294971899944301</v>
      </c>
      <c r="AC11">
        <v>17.307074400014201</v>
      </c>
      <c r="AD11">
        <v>17.307074400014201</v>
      </c>
      <c r="AE11">
        <v>19.3907529000425</v>
      </c>
      <c r="AF11">
        <v>4.6888888888888802</v>
      </c>
      <c r="AG11">
        <v>2.0795833000447601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60.006252643251003</v>
      </c>
      <c r="BD11" t="s">
        <v>61</v>
      </c>
    </row>
    <row r="12" spans="1:56" x14ac:dyDescent="0.3">
      <c r="A12" t="s">
        <v>71</v>
      </c>
      <c r="B12">
        <v>10</v>
      </c>
      <c r="C12">
        <v>10</v>
      </c>
      <c r="D12">
        <v>0</v>
      </c>
      <c r="E12">
        <v>1.6518518518518499</v>
      </c>
      <c r="F12">
        <v>2.6480881999013901</v>
      </c>
      <c r="R12">
        <v>0</v>
      </c>
      <c r="S12">
        <v>10</v>
      </c>
      <c r="T12">
        <v>10</v>
      </c>
      <c r="U12">
        <v>0</v>
      </c>
      <c r="Z12">
        <v>19.4064250999363</v>
      </c>
      <c r="AB12">
        <v>19.393494599964399</v>
      </c>
      <c r="AC12">
        <v>19.4064250999363</v>
      </c>
      <c r="AD12">
        <v>19.4064250999363</v>
      </c>
      <c r="AE12">
        <v>22.059161799959799</v>
      </c>
      <c r="AF12">
        <v>1.6518518518518499</v>
      </c>
      <c r="AG12">
        <v>2.6480881999013901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60.006252643251003</v>
      </c>
      <c r="BD12" t="s">
        <v>61</v>
      </c>
    </row>
    <row r="13" spans="1:56" x14ac:dyDescent="0.3">
      <c r="A13" t="s">
        <v>72</v>
      </c>
      <c r="B13">
        <v>11</v>
      </c>
      <c r="C13">
        <v>11</v>
      </c>
      <c r="D13">
        <v>0</v>
      </c>
      <c r="E13">
        <v>1.6518518518518499</v>
      </c>
      <c r="F13">
        <v>0.91157719993498099</v>
      </c>
      <c r="R13">
        <v>0</v>
      </c>
      <c r="S13">
        <v>11</v>
      </c>
      <c r="T13">
        <v>11</v>
      </c>
      <c r="U13">
        <v>13</v>
      </c>
      <c r="Z13">
        <v>22.0732018999988</v>
      </c>
      <c r="AB13">
        <v>22.0646263000089</v>
      </c>
      <c r="AC13">
        <v>22.0732018999988</v>
      </c>
      <c r="AD13">
        <v>22.0732018999988</v>
      </c>
      <c r="AE13">
        <v>22.990950100007399</v>
      </c>
      <c r="AF13">
        <v>1.6518518518518499</v>
      </c>
      <c r="AG13">
        <v>0.91157719993498099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60.006252643251003</v>
      </c>
      <c r="BD13" t="s">
        <v>61</v>
      </c>
    </row>
    <row r="14" spans="1:56" x14ac:dyDescent="0.3">
      <c r="A14" t="s">
        <v>73</v>
      </c>
      <c r="B14">
        <v>12</v>
      </c>
      <c r="C14">
        <v>12</v>
      </c>
      <c r="D14">
        <v>0</v>
      </c>
      <c r="E14">
        <v>1.6518518518518499</v>
      </c>
      <c r="F14">
        <v>0.82936440000776201</v>
      </c>
      <c r="R14">
        <v>0</v>
      </c>
      <c r="S14">
        <v>12</v>
      </c>
      <c r="T14">
        <v>12</v>
      </c>
      <c r="U14">
        <v>1</v>
      </c>
      <c r="Z14">
        <v>23.0065801000455</v>
      </c>
      <c r="AB14">
        <v>22.995916699990602</v>
      </c>
      <c r="AC14">
        <v>23.0065801000455</v>
      </c>
      <c r="AD14">
        <v>23.0065801000455</v>
      </c>
      <c r="AE14">
        <v>23.841119599994201</v>
      </c>
      <c r="AF14">
        <v>1.6518518518518499</v>
      </c>
      <c r="AG14">
        <v>0.82936440000776201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60.006252643251003</v>
      </c>
      <c r="BD14" t="s">
        <v>61</v>
      </c>
    </row>
    <row r="15" spans="1:56" x14ac:dyDescent="0.3">
      <c r="A15" t="s">
        <v>74</v>
      </c>
      <c r="B15">
        <v>13</v>
      </c>
      <c r="C15">
        <v>13</v>
      </c>
      <c r="D15">
        <v>0</v>
      </c>
      <c r="E15">
        <v>1.6518518518518499</v>
      </c>
      <c r="F15">
        <v>0.84714129997882903</v>
      </c>
      <c r="R15">
        <v>0</v>
      </c>
      <c r="S15">
        <v>13</v>
      </c>
      <c r="T15">
        <v>13</v>
      </c>
      <c r="U15">
        <v>2</v>
      </c>
      <c r="Z15">
        <v>23.8565110999625</v>
      </c>
      <c r="AB15">
        <v>23.844519200036299</v>
      </c>
      <c r="AC15">
        <v>23.8565110999625</v>
      </c>
      <c r="AD15">
        <v>23.8565110999625</v>
      </c>
      <c r="AE15">
        <v>24.707631799974401</v>
      </c>
      <c r="AF15">
        <v>1.6518518518518499</v>
      </c>
      <c r="AG15">
        <v>0.84714129997882903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60.006252643251003</v>
      </c>
      <c r="BD15" t="s">
        <v>61</v>
      </c>
    </row>
    <row r="16" spans="1:56" x14ac:dyDescent="0.3">
      <c r="A16" t="s">
        <v>75</v>
      </c>
      <c r="B16">
        <v>14</v>
      </c>
      <c r="C16">
        <v>14</v>
      </c>
      <c r="D16">
        <v>0</v>
      </c>
      <c r="E16">
        <v>3.7888888888888799</v>
      </c>
      <c r="F16">
        <v>2.09632889996282</v>
      </c>
      <c r="R16">
        <v>0</v>
      </c>
      <c r="S16">
        <v>14</v>
      </c>
      <c r="T16">
        <v>14</v>
      </c>
      <c r="U16">
        <v>12</v>
      </c>
      <c r="Z16">
        <v>24.723103599971999</v>
      </c>
      <c r="AB16">
        <v>24.712294599972601</v>
      </c>
      <c r="AC16">
        <v>24.723103599971999</v>
      </c>
      <c r="AD16">
        <v>24.723103599971999</v>
      </c>
      <c r="AE16">
        <v>26.8245735999662</v>
      </c>
      <c r="AF16">
        <v>3.7888888888888799</v>
      </c>
      <c r="AG16">
        <v>2.09632889996282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60.006252643251003</v>
      </c>
      <c r="BD16" t="s">
        <v>61</v>
      </c>
    </row>
    <row r="17" spans="2:56" x14ac:dyDescent="0.3">
      <c r="B17">
        <v>0</v>
      </c>
      <c r="C17">
        <v>0</v>
      </c>
      <c r="D17">
        <v>0</v>
      </c>
      <c r="G17" t="s">
        <v>76</v>
      </c>
      <c r="H17" t="s">
        <v>68</v>
      </c>
      <c r="I17" t="s">
        <v>77</v>
      </c>
      <c r="J17" s="1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84</v>
      </c>
      <c r="V17">
        <v>0</v>
      </c>
      <c r="W17">
        <v>0</v>
      </c>
      <c r="X17">
        <v>0</v>
      </c>
      <c r="Y17">
        <v>9</v>
      </c>
      <c r="Z17">
        <v>26.850817300029998</v>
      </c>
      <c r="AH17">
        <v>26.841929299989701</v>
      </c>
      <c r="AI17">
        <v>26.850817300029998</v>
      </c>
      <c r="AJ17">
        <v>26.850817300029998</v>
      </c>
      <c r="AK17">
        <v>26.850817300029998</v>
      </c>
      <c r="AL17">
        <v>1.7329799942672201E-2</v>
      </c>
      <c r="AM17">
        <v>35.3276438999455</v>
      </c>
      <c r="AN17" t="s">
        <v>78</v>
      </c>
      <c r="AO17" t="s">
        <v>79</v>
      </c>
      <c r="AP17" t="s">
        <v>80</v>
      </c>
      <c r="AQ17" t="s">
        <v>81</v>
      </c>
      <c r="AR17" t="s">
        <v>82</v>
      </c>
      <c r="AS17" t="s">
        <v>82</v>
      </c>
      <c r="AT17" t="s">
        <v>83</v>
      </c>
      <c r="AU17" t="s">
        <v>84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60.006252643251003</v>
      </c>
      <c r="BD17" t="s">
        <v>61</v>
      </c>
    </row>
    <row r="18" spans="2:56" x14ac:dyDescent="0.3">
      <c r="B18">
        <v>1</v>
      </c>
      <c r="C18">
        <v>1</v>
      </c>
      <c r="D18">
        <v>0</v>
      </c>
      <c r="G18" t="s">
        <v>85</v>
      </c>
      <c r="H18" t="s">
        <v>86</v>
      </c>
      <c r="I18" t="s">
        <v>77</v>
      </c>
      <c r="J18" t="s">
        <v>62</v>
      </c>
      <c r="K18" t="s">
        <v>87</v>
      </c>
      <c r="L18" t="s">
        <v>88</v>
      </c>
      <c r="M18" t="s">
        <v>81</v>
      </c>
      <c r="N18" t="s">
        <v>82</v>
      </c>
      <c r="O18" t="s">
        <v>82</v>
      </c>
      <c r="P18" t="s">
        <v>89</v>
      </c>
      <c r="Q18" t="s">
        <v>84</v>
      </c>
      <c r="V18">
        <v>0</v>
      </c>
      <c r="W18">
        <v>1</v>
      </c>
      <c r="X18">
        <v>1</v>
      </c>
      <c r="Y18">
        <v>10</v>
      </c>
      <c r="Z18">
        <v>35.342275699949802</v>
      </c>
      <c r="AH18">
        <v>35.332472900045097</v>
      </c>
      <c r="AI18">
        <v>35.342275699949802</v>
      </c>
      <c r="AJ18">
        <v>35.342275699949802</v>
      </c>
      <c r="AK18">
        <v>35.342275699949802</v>
      </c>
      <c r="AL18">
        <v>4.5687999809160803E-3</v>
      </c>
      <c r="AM18">
        <v>44.874113900004801</v>
      </c>
      <c r="AN18" t="s">
        <v>62</v>
      </c>
      <c r="AO18" t="s">
        <v>87</v>
      </c>
      <c r="AP18" t="s">
        <v>88</v>
      </c>
      <c r="AQ18" t="s">
        <v>81</v>
      </c>
      <c r="AR18" t="s">
        <v>82</v>
      </c>
      <c r="AS18" t="s">
        <v>82</v>
      </c>
      <c r="AT18" t="s">
        <v>89</v>
      </c>
      <c r="AU18" t="s">
        <v>84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60.006252643251003</v>
      </c>
      <c r="BD18" t="s">
        <v>61</v>
      </c>
    </row>
    <row r="19" spans="2:56" x14ac:dyDescent="0.3">
      <c r="B19">
        <v>2</v>
      </c>
      <c r="C19">
        <v>2</v>
      </c>
      <c r="D19">
        <v>0</v>
      </c>
      <c r="G19" t="s">
        <v>90</v>
      </c>
      <c r="H19" t="s">
        <v>64</v>
      </c>
      <c r="I19" t="s">
        <v>77</v>
      </c>
      <c r="J19" t="s">
        <v>91</v>
      </c>
      <c r="K19" t="s">
        <v>87</v>
      </c>
      <c r="L19" t="s">
        <v>88</v>
      </c>
      <c r="M19" t="s">
        <v>81</v>
      </c>
      <c r="N19" t="s">
        <v>82</v>
      </c>
      <c r="O19" t="s">
        <v>82</v>
      </c>
      <c r="P19" t="s">
        <v>92</v>
      </c>
      <c r="Q19" t="s">
        <v>84</v>
      </c>
      <c r="V19">
        <v>0</v>
      </c>
      <c r="W19">
        <v>2</v>
      </c>
      <c r="X19">
        <v>2</v>
      </c>
      <c r="Y19">
        <v>6</v>
      </c>
      <c r="Z19">
        <v>44.889842299977303</v>
      </c>
      <c r="AH19">
        <v>44.877771400031598</v>
      </c>
      <c r="AI19">
        <v>44.889842299977303</v>
      </c>
      <c r="AJ19">
        <v>44.889842299977303</v>
      </c>
      <c r="AK19">
        <v>44.889842299977303</v>
      </c>
      <c r="AL19">
        <v>3.4903000341728299E-3</v>
      </c>
      <c r="AM19">
        <v>49.9578945999965</v>
      </c>
      <c r="AN19" t="s">
        <v>91</v>
      </c>
      <c r="AO19" t="s">
        <v>87</v>
      </c>
      <c r="AP19" t="s">
        <v>88</v>
      </c>
      <c r="AQ19" t="s">
        <v>81</v>
      </c>
      <c r="AR19" t="s">
        <v>82</v>
      </c>
      <c r="AS19" t="s">
        <v>82</v>
      </c>
      <c r="AT19" t="s">
        <v>92</v>
      </c>
      <c r="AU19" t="s">
        <v>84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60.006252643251003</v>
      </c>
      <c r="BD19" t="s">
        <v>61</v>
      </c>
    </row>
    <row r="20" spans="2:56" x14ac:dyDescent="0.3">
      <c r="B20">
        <v>3</v>
      </c>
      <c r="C20">
        <v>3</v>
      </c>
      <c r="D20">
        <v>0</v>
      </c>
      <c r="G20" t="s">
        <v>93</v>
      </c>
      <c r="H20" t="s">
        <v>94</v>
      </c>
      <c r="I20" t="s">
        <v>77</v>
      </c>
      <c r="J20" t="s">
        <v>56</v>
      </c>
      <c r="K20" t="s">
        <v>87</v>
      </c>
      <c r="L20" t="s">
        <v>88</v>
      </c>
      <c r="M20" t="s">
        <v>81</v>
      </c>
      <c r="N20" t="s">
        <v>82</v>
      </c>
      <c r="O20" t="s">
        <v>82</v>
      </c>
      <c r="P20" t="s">
        <v>95</v>
      </c>
      <c r="Q20" t="s">
        <v>84</v>
      </c>
      <c r="V20">
        <v>0</v>
      </c>
      <c r="W20">
        <v>3</v>
      </c>
      <c r="X20">
        <v>3</v>
      </c>
      <c r="Y20">
        <v>11</v>
      </c>
      <c r="Z20">
        <v>49.973240399966002</v>
      </c>
      <c r="AH20">
        <v>49.962803500005897</v>
      </c>
      <c r="AI20">
        <v>49.973240399966002</v>
      </c>
      <c r="AJ20">
        <v>49.973240399966002</v>
      </c>
      <c r="AK20">
        <v>49.973240399966002</v>
      </c>
      <c r="AL20">
        <v>4.7741000307723802E-3</v>
      </c>
      <c r="AM20">
        <v>54.508376599987898</v>
      </c>
      <c r="AN20" t="s">
        <v>56</v>
      </c>
      <c r="AO20" t="s">
        <v>87</v>
      </c>
      <c r="AP20" t="s">
        <v>88</v>
      </c>
      <c r="AQ20" t="s">
        <v>81</v>
      </c>
      <c r="AR20" t="s">
        <v>82</v>
      </c>
      <c r="AS20" t="s">
        <v>82</v>
      </c>
      <c r="AT20" t="s">
        <v>95</v>
      </c>
      <c r="AU20" t="s">
        <v>84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60.006252643251003</v>
      </c>
      <c r="BD20" t="s">
        <v>61</v>
      </c>
    </row>
    <row r="21" spans="2:56" x14ac:dyDescent="0.3">
      <c r="B21">
        <v>4</v>
      </c>
      <c r="C21">
        <v>4</v>
      </c>
      <c r="D21">
        <v>0</v>
      </c>
      <c r="G21" t="s">
        <v>96</v>
      </c>
      <c r="H21" t="s">
        <v>97</v>
      </c>
      <c r="I21" t="s">
        <v>77</v>
      </c>
      <c r="J21" s="1" t="s">
        <v>98</v>
      </c>
      <c r="K21" t="s">
        <v>87</v>
      </c>
      <c r="L21" t="s">
        <v>88</v>
      </c>
      <c r="M21" t="s">
        <v>81</v>
      </c>
      <c r="N21" t="s">
        <v>82</v>
      </c>
      <c r="O21" t="s">
        <v>82</v>
      </c>
      <c r="P21" t="s">
        <v>99</v>
      </c>
      <c r="Q21" t="s">
        <v>84</v>
      </c>
      <c r="V21">
        <v>0</v>
      </c>
      <c r="W21">
        <v>4</v>
      </c>
      <c r="X21">
        <v>4</v>
      </c>
      <c r="Y21">
        <v>12</v>
      </c>
      <c r="Z21">
        <v>54.5231907999841</v>
      </c>
      <c r="AH21">
        <v>54.511606900021398</v>
      </c>
      <c r="AI21">
        <v>54.5231907999841</v>
      </c>
      <c r="AJ21">
        <v>54.5231907999841</v>
      </c>
      <c r="AK21">
        <v>54.5231907999841</v>
      </c>
      <c r="AL21">
        <v>3.1219000229611902E-3</v>
      </c>
      <c r="AM21">
        <v>69.474294599960501</v>
      </c>
      <c r="AN21" t="s">
        <v>98</v>
      </c>
      <c r="AO21" t="s">
        <v>87</v>
      </c>
      <c r="AP21" t="s">
        <v>88</v>
      </c>
      <c r="AQ21" t="s">
        <v>81</v>
      </c>
      <c r="AR21" t="s">
        <v>82</v>
      </c>
      <c r="AS21" t="s">
        <v>82</v>
      </c>
      <c r="AT21" t="s">
        <v>99</v>
      </c>
      <c r="AU21" t="s">
        <v>84</v>
      </c>
      <c r="AV21">
        <v>64.523295699968003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60.006252643251003</v>
      </c>
      <c r="BD21" t="s">
        <v>61</v>
      </c>
    </row>
    <row r="22" spans="2:56" x14ac:dyDescent="0.3">
      <c r="B22">
        <v>5</v>
      </c>
      <c r="C22">
        <v>5</v>
      </c>
      <c r="D22">
        <v>0</v>
      </c>
      <c r="G22" t="s">
        <v>100</v>
      </c>
      <c r="H22" t="s">
        <v>69</v>
      </c>
      <c r="I22" t="s">
        <v>77</v>
      </c>
      <c r="J22" t="s">
        <v>69</v>
      </c>
      <c r="K22" t="s">
        <v>87</v>
      </c>
      <c r="L22" t="s">
        <v>88</v>
      </c>
      <c r="M22" t="s">
        <v>81</v>
      </c>
      <c r="N22" t="s">
        <v>82</v>
      </c>
      <c r="O22" t="s">
        <v>82</v>
      </c>
      <c r="P22" t="s">
        <v>101</v>
      </c>
      <c r="Q22" t="s">
        <v>84</v>
      </c>
      <c r="V22">
        <v>0</v>
      </c>
      <c r="W22">
        <v>5</v>
      </c>
      <c r="X22">
        <v>5</v>
      </c>
      <c r="Y22">
        <v>3</v>
      </c>
      <c r="Z22">
        <v>69.489741500001401</v>
      </c>
      <c r="AH22">
        <v>69.477926300023597</v>
      </c>
      <c r="AI22">
        <v>69.489741500001401</v>
      </c>
      <c r="AJ22">
        <v>69.489741500001401</v>
      </c>
      <c r="AK22">
        <v>69.489741500001401</v>
      </c>
      <c r="AL22">
        <v>3.5260000731796E-3</v>
      </c>
      <c r="AM22">
        <v>74.507781199994497</v>
      </c>
      <c r="AN22" t="s">
        <v>69</v>
      </c>
      <c r="AO22" t="s">
        <v>87</v>
      </c>
      <c r="AP22" t="s">
        <v>88</v>
      </c>
      <c r="AQ22" t="s">
        <v>81</v>
      </c>
      <c r="AR22" t="s">
        <v>82</v>
      </c>
      <c r="AS22" t="s">
        <v>82</v>
      </c>
      <c r="AT22" t="s">
        <v>101</v>
      </c>
      <c r="AU22" t="s">
        <v>84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60.006252643251003</v>
      </c>
      <c r="BD22" t="s">
        <v>61</v>
      </c>
    </row>
    <row r="23" spans="2:56" x14ac:dyDescent="0.3">
      <c r="B23">
        <v>6</v>
      </c>
      <c r="C23">
        <v>6</v>
      </c>
      <c r="D23">
        <v>0</v>
      </c>
      <c r="G23" t="s">
        <v>102</v>
      </c>
      <c r="H23" t="s">
        <v>103</v>
      </c>
      <c r="I23" s="3" t="s">
        <v>104</v>
      </c>
      <c r="J23" t="s">
        <v>105</v>
      </c>
      <c r="K23" t="s">
        <v>87</v>
      </c>
      <c r="L23" t="s">
        <v>88</v>
      </c>
      <c r="M23" t="s">
        <v>81</v>
      </c>
      <c r="N23" t="s">
        <v>82</v>
      </c>
      <c r="O23" t="s">
        <v>82</v>
      </c>
      <c r="P23" t="s">
        <v>106</v>
      </c>
      <c r="Q23" t="s">
        <v>84</v>
      </c>
      <c r="V23">
        <v>0</v>
      </c>
      <c r="W23">
        <v>6</v>
      </c>
      <c r="X23">
        <v>6</v>
      </c>
      <c r="Y23">
        <v>19</v>
      </c>
      <c r="Z23">
        <v>74.523132300004306</v>
      </c>
      <c r="AH23">
        <v>74.512327200034605</v>
      </c>
      <c r="AI23">
        <v>74.523132300004306</v>
      </c>
      <c r="AJ23">
        <v>74.523132300004306</v>
      </c>
      <c r="AK23">
        <v>74.523132300004306</v>
      </c>
      <c r="AL23">
        <v>4.32950002141296E-3</v>
      </c>
      <c r="AM23">
        <v>79.458021200029094</v>
      </c>
      <c r="AN23" t="s">
        <v>105</v>
      </c>
      <c r="AO23" t="s">
        <v>87</v>
      </c>
      <c r="AP23" t="s">
        <v>88</v>
      </c>
      <c r="AQ23" t="s">
        <v>81</v>
      </c>
      <c r="AR23" t="s">
        <v>82</v>
      </c>
      <c r="AS23" t="s">
        <v>82</v>
      </c>
      <c r="AT23" t="s">
        <v>106</v>
      </c>
      <c r="AU23" t="s">
        <v>84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60.006252643251003</v>
      </c>
      <c r="BD23" t="s">
        <v>61</v>
      </c>
    </row>
    <row r="24" spans="2:56" x14ac:dyDescent="0.3">
      <c r="B24">
        <v>7</v>
      </c>
      <c r="C24">
        <v>7</v>
      </c>
      <c r="D24">
        <v>0</v>
      </c>
      <c r="G24" t="s">
        <v>107</v>
      </c>
      <c r="H24" t="s">
        <v>65</v>
      </c>
      <c r="I24" t="s">
        <v>77</v>
      </c>
      <c r="J24" t="s">
        <v>108</v>
      </c>
      <c r="K24" t="s">
        <v>87</v>
      </c>
      <c r="L24" t="s">
        <v>88</v>
      </c>
      <c r="M24" t="s">
        <v>81</v>
      </c>
      <c r="N24" t="s">
        <v>82</v>
      </c>
      <c r="O24" t="s">
        <v>82</v>
      </c>
      <c r="P24" t="s">
        <v>109</v>
      </c>
      <c r="Q24" t="s">
        <v>84</v>
      </c>
      <c r="V24">
        <v>0</v>
      </c>
      <c r="W24">
        <v>7</v>
      </c>
      <c r="X24">
        <v>7</v>
      </c>
      <c r="Y24">
        <v>5</v>
      </c>
      <c r="Z24">
        <v>79.473281300044604</v>
      </c>
      <c r="AH24">
        <v>79.461795500013906</v>
      </c>
      <c r="AI24">
        <v>79.473281300044604</v>
      </c>
      <c r="AJ24">
        <v>79.473281300044604</v>
      </c>
      <c r="AK24">
        <v>79.473281300044604</v>
      </c>
      <c r="AL24">
        <v>3.5871999571099799E-3</v>
      </c>
      <c r="AM24">
        <v>83.424182899994705</v>
      </c>
      <c r="AN24" t="s">
        <v>108</v>
      </c>
      <c r="AO24" t="s">
        <v>87</v>
      </c>
      <c r="AP24" t="s">
        <v>88</v>
      </c>
      <c r="AQ24" t="s">
        <v>81</v>
      </c>
      <c r="AR24" t="s">
        <v>82</v>
      </c>
      <c r="AS24" t="s">
        <v>82</v>
      </c>
      <c r="AT24" t="s">
        <v>109</v>
      </c>
      <c r="AU24" t="s">
        <v>84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60.006252643251003</v>
      </c>
      <c r="BD24" t="s">
        <v>61</v>
      </c>
    </row>
    <row r="25" spans="2:56" x14ac:dyDescent="0.3">
      <c r="B25">
        <v>8</v>
      </c>
      <c r="C25">
        <v>8</v>
      </c>
      <c r="D25">
        <v>0</v>
      </c>
      <c r="G25" t="s">
        <v>110</v>
      </c>
      <c r="H25" t="s">
        <v>111</v>
      </c>
      <c r="I25" t="s">
        <v>77</v>
      </c>
      <c r="J25" s="1" t="s">
        <v>112</v>
      </c>
      <c r="K25" t="s">
        <v>87</v>
      </c>
      <c r="L25" t="s">
        <v>88</v>
      </c>
      <c r="M25" t="s">
        <v>81</v>
      </c>
      <c r="N25" t="s">
        <v>82</v>
      </c>
      <c r="O25" t="s">
        <v>82</v>
      </c>
      <c r="P25" t="s">
        <v>113</v>
      </c>
      <c r="Q25" t="s">
        <v>84</v>
      </c>
      <c r="V25">
        <v>0</v>
      </c>
      <c r="W25">
        <v>8</v>
      </c>
      <c r="X25">
        <v>8</v>
      </c>
      <c r="Y25">
        <v>2</v>
      </c>
      <c r="Z25">
        <v>83.440645999973597</v>
      </c>
      <c r="AH25">
        <v>83.428641399950706</v>
      </c>
      <c r="AI25">
        <v>83.440645999973597</v>
      </c>
      <c r="AJ25">
        <v>83.440645999973597</v>
      </c>
      <c r="AK25">
        <v>83.440645999973597</v>
      </c>
      <c r="AL25">
        <v>4.3284000130370199E-3</v>
      </c>
      <c r="AM25">
        <v>90.457747700042006</v>
      </c>
      <c r="AN25" t="s">
        <v>112</v>
      </c>
      <c r="AO25" t="s">
        <v>87</v>
      </c>
      <c r="AP25" t="s">
        <v>88</v>
      </c>
      <c r="AQ25" t="s">
        <v>81</v>
      </c>
      <c r="AR25" t="s">
        <v>82</v>
      </c>
      <c r="AS25" t="s">
        <v>82</v>
      </c>
      <c r="AT25" t="s">
        <v>113</v>
      </c>
      <c r="AU25" t="s">
        <v>84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60.006252643251003</v>
      </c>
      <c r="BD25" t="s">
        <v>61</v>
      </c>
    </row>
    <row r="26" spans="2:56" x14ac:dyDescent="0.3">
      <c r="B26">
        <v>9</v>
      </c>
      <c r="C26">
        <v>9</v>
      </c>
      <c r="D26">
        <v>0</v>
      </c>
      <c r="G26" t="s">
        <v>114</v>
      </c>
      <c r="H26" t="s">
        <v>75</v>
      </c>
      <c r="I26" t="s">
        <v>77</v>
      </c>
      <c r="J26" t="s">
        <v>115</v>
      </c>
      <c r="K26" t="s">
        <v>87</v>
      </c>
      <c r="L26" t="s">
        <v>88</v>
      </c>
      <c r="M26" t="s">
        <v>81</v>
      </c>
      <c r="N26" t="s">
        <v>82</v>
      </c>
      <c r="O26" t="s">
        <v>82</v>
      </c>
      <c r="P26" t="s">
        <v>116</v>
      </c>
      <c r="Q26" t="s">
        <v>84</v>
      </c>
      <c r="V26">
        <v>0</v>
      </c>
      <c r="W26">
        <v>9</v>
      </c>
      <c r="X26">
        <v>9</v>
      </c>
      <c r="Y26">
        <v>7</v>
      </c>
      <c r="Z26">
        <v>90.473128400044502</v>
      </c>
      <c r="AH26">
        <v>90.461689200019407</v>
      </c>
      <c r="AI26">
        <v>90.473128400044502</v>
      </c>
      <c r="AJ26">
        <v>90.473128400044502</v>
      </c>
      <c r="AK26">
        <v>90.473128400044502</v>
      </c>
      <c r="AL26">
        <v>3.8167000748217102E-3</v>
      </c>
      <c r="AM26">
        <v>95.841084999963599</v>
      </c>
      <c r="AN26" t="s">
        <v>115</v>
      </c>
      <c r="AO26" t="s">
        <v>87</v>
      </c>
      <c r="AP26" t="s">
        <v>88</v>
      </c>
      <c r="AQ26" t="s">
        <v>81</v>
      </c>
      <c r="AR26" t="s">
        <v>82</v>
      </c>
      <c r="AS26" t="s">
        <v>82</v>
      </c>
      <c r="AT26" t="s">
        <v>116</v>
      </c>
      <c r="AU26" t="s">
        <v>84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60.006252643251003</v>
      </c>
      <c r="BD26" t="s">
        <v>61</v>
      </c>
    </row>
    <row r="27" spans="2:56" x14ac:dyDescent="0.3">
      <c r="B27">
        <v>10</v>
      </c>
      <c r="C27">
        <v>10</v>
      </c>
      <c r="D27">
        <v>0</v>
      </c>
      <c r="G27" t="s">
        <v>117</v>
      </c>
      <c r="H27" t="s">
        <v>118</v>
      </c>
      <c r="I27" t="s">
        <v>77</v>
      </c>
      <c r="J27" t="s">
        <v>119</v>
      </c>
      <c r="K27" t="s">
        <v>87</v>
      </c>
      <c r="L27" t="s">
        <v>88</v>
      </c>
      <c r="M27" t="s">
        <v>81</v>
      </c>
      <c r="N27" t="s">
        <v>82</v>
      </c>
      <c r="O27" t="s">
        <v>82</v>
      </c>
      <c r="P27" t="s">
        <v>120</v>
      </c>
      <c r="Q27" t="s">
        <v>84</v>
      </c>
      <c r="V27">
        <v>0</v>
      </c>
      <c r="W27">
        <v>10</v>
      </c>
      <c r="X27">
        <v>10</v>
      </c>
      <c r="Y27">
        <v>14</v>
      </c>
      <c r="Z27">
        <v>95.856594000011597</v>
      </c>
      <c r="AH27">
        <v>95.843632300035097</v>
      </c>
      <c r="AI27">
        <v>95.856594000011597</v>
      </c>
      <c r="AJ27">
        <v>95.856594000011597</v>
      </c>
      <c r="AK27">
        <v>95.856594000011597</v>
      </c>
      <c r="AL27">
        <v>2.4651000276207898E-3</v>
      </c>
      <c r="AM27">
        <v>102.3581825</v>
      </c>
      <c r="AN27" t="s">
        <v>119</v>
      </c>
      <c r="AO27" t="s">
        <v>87</v>
      </c>
      <c r="AP27" t="s">
        <v>88</v>
      </c>
      <c r="AQ27" t="s">
        <v>81</v>
      </c>
      <c r="AR27" t="s">
        <v>82</v>
      </c>
      <c r="AS27" t="s">
        <v>82</v>
      </c>
      <c r="AT27" t="s">
        <v>120</v>
      </c>
      <c r="AU27" t="s">
        <v>84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60.006252643251003</v>
      </c>
      <c r="BD27" t="s">
        <v>61</v>
      </c>
    </row>
    <row r="28" spans="2:56" x14ac:dyDescent="0.3">
      <c r="B28">
        <v>11</v>
      </c>
      <c r="C28">
        <v>11</v>
      </c>
      <c r="D28">
        <v>0</v>
      </c>
      <c r="G28" t="s">
        <v>121</v>
      </c>
      <c r="H28" t="s">
        <v>122</v>
      </c>
      <c r="I28" t="s">
        <v>77</v>
      </c>
      <c r="J28" t="s">
        <v>71</v>
      </c>
      <c r="K28" t="s">
        <v>87</v>
      </c>
      <c r="L28" t="s">
        <v>88</v>
      </c>
      <c r="M28" t="s">
        <v>81</v>
      </c>
      <c r="N28" t="s">
        <v>82</v>
      </c>
      <c r="O28" t="s">
        <v>82</v>
      </c>
      <c r="P28" t="s">
        <v>123</v>
      </c>
      <c r="Q28" t="s">
        <v>84</v>
      </c>
      <c r="V28">
        <v>0</v>
      </c>
      <c r="W28">
        <v>11</v>
      </c>
      <c r="X28">
        <v>11</v>
      </c>
      <c r="Y28">
        <v>13</v>
      </c>
      <c r="Z28">
        <v>102.373217599932</v>
      </c>
      <c r="AH28">
        <v>102.360769700026</v>
      </c>
      <c r="AI28">
        <v>102.373217599932</v>
      </c>
      <c r="AJ28">
        <v>102.373217599932</v>
      </c>
      <c r="AK28">
        <v>102.373217599932</v>
      </c>
      <c r="AL28">
        <v>2.4474000092595798E-3</v>
      </c>
      <c r="AM28">
        <v>106.25854379998</v>
      </c>
      <c r="AN28" t="s">
        <v>71</v>
      </c>
      <c r="AO28" t="s">
        <v>87</v>
      </c>
      <c r="AP28" t="s">
        <v>88</v>
      </c>
      <c r="AQ28" t="s">
        <v>81</v>
      </c>
      <c r="AR28" t="s">
        <v>82</v>
      </c>
      <c r="AS28" t="s">
        <v>82</v>
      </c>
      <c r="AT28" t="s">
        <v>123</v>
      </c>
      <c r="AU28" t="s">
        <v>84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60.006252643251003</v>
      </c>
      <c r="BD28" t="s">
        <v>61</v>
      </c>
    </row>
    <row r="29" spans="2:56" x14ac:dyDescent="0.3">
      <c r="B29">
        <v>12</v>
      </c>
      <c r="C29">
        <v>12</v>
      </c>
      <c r="D29">
        <v>0</v>
      </c>
      <c r="G29" t="s">
        <v>124</v>
      </c>
      <c r="H29" t="s">
        <v>72</v>
      </c>
      <c r="I29" t="s">
        <v>77</v>
      </c>
      <c r="J29" t="s">
        <v>125</v>
      </c>
      <c r="K29" t="s">
        <v>87</v>
      </c>
      <c r="L29" t="s">
        <v>88</v>
      </c>
      <c r="M29" t="s">
        <v>81</v>
      </c>
      <c r="N29" t="s">
        <v>82</v>
      </c>
      <c r="O29" t="s">
        <v>82</v>
      </c>
      <c r="P29" t="s">
        <v>126</v>
      </c>
      <c r="Q29" t="s">
        <v>84</v>
      </c>
      <c r="V29">
        <v>0</v>
      </c>
      <c r="W29">
        <v>12</v>
      </c>
      <c r="X29">
        <v>12</v>
      </c>
      <c r="Y29">
        <v>8</v>
      </c>
      <c r="Z29">
        <v>106.27320329996201</v>
      </c>
      <c r="AH29">
        <v>106.26385780004701</v>
      </c>
      <c r="AI29">
        <v>106.27320329996201</v>
      </c>
      <c r="AJ29">
        <v>106.27320329996201</v>
      </c>
      <c r="AK29">
        <v>106.27320329996201</v>
      </c>
      <c r="AL29">
        <v>4.9780999543145299E-3</v>
      </c>
      <c r="AM29">
        <v>110.85772209998601</v>
      </c>
      <c r="AN29" t="s">
        <v>125</v>
      </c>
      <c r="AO29" t="s">
        <v>87</v>
      </c>
      <c r="AP29" t="s">
        <v>88</v>
      </c>
      <c r="AQ29" t="s">
        <v>81</v>
      </c>
      <c r="AR29" t="s">
        <v>82</v>
      </c>
      <c r="AS29" t="s">
        <v>82</v>
      </c>
      <c r="AT29" t="s">
        <v>126</v>
      </c>
      <c r="AU29" t="s">
        <v>84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60.006252643251003</v>
      </c>
      <c r="BD29" t="s">
        <v>61</v>
      </c>
    </row>
    <row r="30" spans="2:56" x14ac:dyDescent="0.3">
      <c r="B30">
        <v>13</v>
      </c>
      <c r="C30">
        <v>13</v>
      </c>
      <c r="D30">
        <v>0</v>
      </c>
      <c r="G30" t="s">
        <v>127</v>
      </c>
      <c r="H30" t="s">
        <v>66</v>
      </c>
      <c r="I30" t="s">
        <v>77</v>
      </c>
      <c r="J30" s="1" t="s">
        <v>128</v>
      </c>
      <c r="K30" t="s">
        <v>87</v>
      </c>
      <c r="L30" t="s">
        <v>88</v>
      </c>
      <c r="M30" t="s">
        <v>81</v>
      </c>
      <c r="N30" t="s">
        <v>82</v>
      </c>
      <c r="O30" t="s">
        <v>82</v>
      </c>
      <c r="P30" t="s">
        <v>129</v>
      </c>
      <c r="Q30" t="s">
        <v>84</v>
      </c>
      <c r="V30">
        <v>0</v>
      </c>
      <c r="W30">
        <v>13</v>
      </c>
      <c r="X30">
        <v>13</v>
      </c>
      <c r="Y30">
        <v>4</v>
      </c>
      <c r="Z30">
        <v>110.873624700005</v>
      </c>
      <c r="AH30">
        <v>110.861869000014</v>
      </c>
      <c r="AI30">
        <v>110.873624700005</v>
      </c>
      <c r="AJ30">
        <v>110.873624700005</v>
      </c>
      <c r="AK30">
        <v>110.873624700005</v>
      </c>
      <c r="AL30">
        <v>4.0731999324634602E-3</v>
      </c>
      <c r="AM30">
        <v>124.291298100026</v>
      </c>
      <c r="AN30" t="s">
        <v>128</v>
      </c>
      <c r="AO30" t="s">
        <v>87</v>
      </c>
      <c r="AP30" t="s">
        <v>88</v>
      </c>
      <c r="AQ30" t="s">
        <v>81</v>
      </c>
      <c r="AR30" t="s">
        <v>82</v>
      </c>
      <c r="AS30" t="s">
        <v>82</v>
      </c>
      <c r="AT30" t="s">
        <v>129</v>
      </c>
      <c r="AU30" t="s">
        <v>84</v>
      </c>
      <c r="AV30">
        <v>120.873193799983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60.006252643251003</v>
      </c>
      <c r="BD30" t="s">
        <v>61</v>
      </c>
    </row>
    <row r="31" spans="2:56" x14ac:dyDescent="0.3">
      <c r="B31">
        <v>14</v>
      </c>
      <c r="C31">
        <v>14</v>
      </c>
      <c r="D31">
        <v>0</v>
      </c>
      <c r="G31" t="s">
        <v>130</v>
      </c>
      <c r="H31" t="s">
        <v>131</v>
      </c>
      <c r="I31" s="3" t="s">
        <v>104</v>
      </c>
      <c r="J31" t="s">
        <v>132</v>
      </c>
      <c r="K31" t="s">
        <v>87</v>
      </c>
      <c r="L31" t="s">
        <v>88</v>
      </c>
      <c r="M31" t="s">
        <v>81</v>
      </c>
      <c r="N31" t="s">
        <v>82</v>
      </c>
      <c r="O31" t="s">
        <v>82</v>
      </c>
      <c r="P31" t="s">
        <v>133</v>
      </c>
      <c r="Q31" t="s">
        <v>84</v>
      </c>
      <c r="V31">
        <v>0</v>
      </c>
      <c r="W31">
        <v>14</v>
      </c>
      <c r="X31">
        <v>14</v>
      </c>
      <c r="Y31">
        <v>18</v>
      </c>
      <c r="Z31">
        <v>124.306664100033</v>
      </c>
      <c r="AH31">
        <v>124.295570199959</v>
      </c>
      <c r="AI31">
        <v>124.306664100033</v>
      </c>
      <c r="AJ31">
        <v>124.306664100033</v>
      </c>
      <c r="AK31">
        <v>124.306664100033</v>
      </c>
      <c r="AL31">
        <v>4.10050002392381E-3</v>
      </c>
      <c r="AM31">
        <v>130.20783440000301</v>
      </c>
      <c r="AN31" t="s">
        <v>132</v>
      </c>
      <c r="AO31" t="s">
        <v>87</v>
      </c>
      <c r="AP31" t="s">
        <v>88</v>
      </c>
      <c r="AQ31" t="s">
        <v>81</v>
      </c>
      <c r="AR31" t="s">
        <v>82</v>
      </c>
      <c r="AS31" t="s">
        <v>82</v>
      </c>
      <c r="AT31" t="s">
        <v>133</v>
      </c>
      <c r="AU31" t="s">
        <v>84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60.006252643251003</v>
      </c>
      <c r="BD31" t="s">
        <v>61</v>
      </c>
    </row>
    <row r="32" spans="2:56" x14ac:dyDescent="0.3">
      <c r="B32">
        <v>15</v>
      </c>
      <c r="C32">
        <v>15</v>
      </c>
      <c r="D32">
        <v>0</v>
      </c>
      <c r="G32" t="s">
        <v>134</v>
      </c>
      <c r="H32" t="s">
        <v>135</v>
      </c>
      <c r="I32" s="3" t="s">
        <v>104</v>
      </c>
      <c r="J32" t="s">
        <v>136</v>
      </c>
      <c r="K32" t="s">
        <v>87</v>
      </c>
      <c r="L32" t="s">
        <v>88</v>
      </c>
      <c r="M32" t="s">
        <v>81</v>
      </c>
      <c r="N32" t="s">
        <v>82</v>
      </c>
      <c r="O32" t="s">
        <v>82</v>
      </c>
      <c r="P32" t="s">
        <v>137</v>
      </c>
      <c r="Q32" t="s">
        <v>84</v>
      </c>
      <c r="V32">
        <v>0</v>
      </c>
      <c r="W32">
        <v>15</v>
      </c>
      <c r="X32">
        <v>15</v>
      </c>
      <c r="Y32">
        <v>17</v>
      </c>
      <c r="Z32">
        <v>130.227072800043</v>
      </c>
      <c r="AH32">
        <v>130.21584930003101</v>
      </c>
      <c r="AI32">
        <v>130.227072800043</v>
      </c>
      <c r="AJ32">
        <v>130.227072800043</v>
      </c>
      <c r="AK32">
        <v>130.227072800043</v>
      </c>
      <c r="AL32">
        <v>7.8213999513536692E-3</v>
      </c>
      <c r="AM32">
        <v>135.29106620000599</v>
      </c>
      <c r="AN32" t="s">
        <v>136</v>
      </c>
      <c r="AO32" t="s">
        <v>87</v>
      </c>
      <c r="AP32" t="s">
        <v>88</v>
      </c>
      <c r="AQ32" t="s">
        <v>81</v>
      </c>
      <c r="AR32" t="s">
        <v>82</v>
      </c>
      <c r="AS32" t="s">
        <v>82</v>
      </c>
      <c r="AT32" t="s">
        <v>137</v>
      </c>
      <c r="AU32" t="s">
        <v>84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60.006252643251003</v>
      </c>
      <c r="BD32" t="s">
        <v>61</v>
      </c>
    </row>
    <row r="33" spans="2:56" x14ac:dyDescent="0.3">
      <c r="B33">
        <v>16</v>
      </c>
      <c r="C33">
        <v>16</v>
      </c>
      <c r="D33">
        <v>0</v>
      </c>
      <c r="G33" t="s">
        <v>138</v>
      </c>
      <c r="H33" t="s">
        <v>70</v>
      </c>
      <c r="I33" t="s">
        <v>77</v>
      </c>
      <c r="J33" t="s">
        <v>139</v>
      </c>
      <c r="K33" t="s">
        <v>87</v>
      </c>
      <c r="L33" t="s">
        <v>88</v>
      </c>
      <c r="M33" t="s">
        <v>81</v>
      </c>
      <c r="N33" t="s">
        <v>82</v>
      </c>
      <c r="O33" t="s">
        <v>82</v>
      </c>
      <c r="P33" t="s">
        <v>140</v>
      </c>
      <c r="Q33" t="s">
        <v>84</v>
      </c>
      <c r="V33">
        <v>0</v>
      </c>
      <c r="W33">
        <v>16</v>
      </c>
      <c r="X33">
        <v>16</v>
      </c>
      <c r="Y33">
        <v>1</v>
      </c>
      <c r="Z33">
        <v>135.30660440004399</v>
      </c>
      <c r="AH33">
        <v>135.29464900004601</v>
      </c>
      <c r="AI33">
        <v>135.30660440004399</v>
      </c>
      <c r="AJ33">
        <v>135.30660440004399</v>
      </c>
      <c r="AK33">
        <v>135.30660440004399</v>
      </c>
      <c r="AL33">
        <v>3.45109996851533E-3</v>
      </c>
      <c r="AM33">
        <v>140.258505900041</v>
      </c>
      <c r="AN33" t="s">
        <v>139</v>
      </c>
      <c r="AO33" t="s">
        <v>87</v>
      </c>
      <c r="AP33" t="s">
        <v>88</v>
      </c>
      <c r="AQ33" t="s">
        <v>81</v>
      </c>
      <c r="AR33" t="s">
        <v>82</v>
      </c>
      <c r="AS33" t="s">
        <v>82</v>
      </c>
      <c r="AT33" t="s">
        <v>140</v>
      </c>
      <c r="AU33" t="s">
        <v>84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60.006252643251003</v>
      </c>
      <c r="BD33" t="s">
        <v>61</v>
      </c>
    </row>
    <row r="34" spans="2:56" x14ac:dyDescent="0.3">
      <c r="B34">
        <v>17</v>
      </c>
      <c r="C34">
        <v>17</v>
      </c>
      <c r="D34">
        <v>0</v>
      </c>
      <c r="G34" t="s">
        <v>141</v>
      </c>
      <c r="H34" t="s">
        <v>67</v>
      </c>
      <c r="I34" t="s">
        <v>77</v>
      </c>
      <c r="J34" t="s">
        <v>142</v>
      </c>
      <c r="K34" t="s">
        <v>87</v>
      </c>
      <c r="L34" t="s">
        <v>88</v>
      </c>
      <c r="M34" t="s">
        <v>81</v>
      </c>
      <c r="N34" t="s">
        <v>82</v>
      </c>
      <c r="O34" t="s">
        <v>82</v>
      </c>
      <c r="P34" t="s">
        <v>143</v>
      </c>
      <c r="Q34" t="s">
        <v>84</v>
      </c>
      <c r="V34">
        <v>0</v>
      </c>
      <c r="W34">
        <v>17</v>
      </c>
      <c r="X34">
        <v>17</v>
      </c>
      <c r="Y34">
        <v>0</v>
      </c>
      <c r="Z34">
        <v>140.275268699973</v>
      </c>
      <c r="AH34">
        <v>140.264495200011</v>
      </c>
      <c r="AI34">
        <v>140.275268699973</v>
      </c>
      <c r="AJ34">
        <v>140.275268699973</v>
      </c>
      <c r="AK34">
        <v>140.275268699973</v>
      </c>
      <c r="AL34">
        <v>5.8089999947696898E-3</v>
      </c>
      <c r="AM34">
        <v>145.158221799996</v>
      </c>
      <c r="AN34" t="s">
        <v>142</v>
      </c>
      <c r="AO34" t="s">
        <v>87</v>
      </c>
      <c r="AP34" t="s">
        <v>88</v>
      </c>
      <c r="AQ34" t="s">
        <v>81</v>
      </c>
      <c r="AR34" t="s">
        <v>82</v>
      </c>
      <c r="AS34" t="s">
        <v>82</v>
      </c>
      <c r="AT34" t="s">
        <v>143</v>
      </c>
      <c r="AU34" t="s">
        <v>84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60.006252643251003</v>
      </c>
      <c r="BD34" t="s">
        <v>61</v>
      </c>
    </row>
    <row r="35" spans="2:56" x14ac:dyDescent="0.3">
      <c r="B35">
        <v>18</v>
      </c>
      <c r="C35">
        <v>18</v>
      </c>
      <c r="D35">
        <v>0</v>
      </c>
      <c r="G35" t="s">
        <v>144</v>
      </c>
      <c r="H35" t="s">
        <v>145</v>
      </c>
      <c r="I35" s="3" t="s">
        <v>104</v>
      </c>
      <c r="J35" t="s">
        <v>146</v>
      </c>
      <c r="K35" t="s">
        <v>87</v>
      </c>
      <c r="L35" t="s">
        <v>88</v>
      </c>
      <c r="M35" t="s">
        <v>81</v>
      </c>
      <c r="N35" t="s">
        <v>82</v>
      </c>
      <c r="O35" t="s">
        <v>82</v>
      </c>
      <c r="P35" t="s">
        <v>147</v>
      </c>
      <c r="Q35" t="s">
        <v>84</v>
      </c>
      <c r="V35">
        <v>0</v>
      </c>
      <c r="W35">
        <v>18</v>
      </c>
      <c r="X35">
        <v>18</v>
      </c>
      <c r="Y35">
        <v>15</v>
      </c>
      <c r="Z35">
        <v>145.17505880002801</v>
      </c>
      <c r="AH35">
        <v>145.16480699996399</v>
      </c>
      <c r="AI35">
        <v>145.17505880002801</v>
      </c>
      <c r="AJ35">
        <v>145.17505880002801</v>
      </c>
      <c r="AK35">
        <v>145.17505880002801</v>
      </c>
      <c r="AL35">
        <v>6.1545000644400698E-3</v>
      </c>
      <c r="AM35">
        <v>150.15723599994001</v>
      </c>
      <c r="AN35" t="s">
        <v>146</v>
      </c>
      <c r="AO35" t="s">
        <v>87</v>
      </c>
      <c r="AP35" t="s">
        <v>88</v>
      </c>
      <c r="AQ35" t="s">
        <v>81</v>
      </c>
      <c r="AR35" t="s">
        <v>82</v>
      </c>
      <c r="AS35" t="s">
        <v>82</v>
      </c>
      <c r="AT35" t="s">
        <v>147</v>
      </c>
      <c r="AU35" t="s">
        <v>84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60.006252643251003</v>
      </c>
      <c r="BD35" t="s">
        <v>61</v>
      </c>
    </row>
    <row r="36" spans="2:56" x14ac:dyDescent="0.3">
      <c r="B36">
        <v>19</v>
      </c>
      <c r="C36">
        <v>19</v>
      </c>
      <c r="D36">
        <v>0</v>
      </c>
      <c r="G36" t="s">
        <v>148</v>
      </c>
      <c r="H36" t="s">
        <v>149</v>
      </c>
      <c r="I36" s="3" t="s">
        <v>104</v>
      </c>
      <c r="J36" s="2" t="s">
        <v>150</v>
      </c>
      <c r="K36" t="s">
        <v>87</v>
      </c>
      <c r="L36" t="s">
        <v>88</v>
      </c>
      <c r="M36" t="s">
        <v>81</v>
      </c>
      <c r="N36" t="s">
        <v>82</v>
      </c>
      <c r="O36" t="s">
        <v>82</v>
      </c>
      <c r="P36" t="s">
        <v>151</v>
      </c>
      <c r="Q36" t="s">
        <v>84</v>
      </c>
      <c r="V36">
        <v>0</v>
      </c>
      <c r="W36">
        <v>19</v>
      </c>
      <c r="X36">
        <v>19</v>
      </c>
      <c r="Y36">
        <v>16</v>
      </c>
      <c r="Z36">
        <v>150.17327889997901</v>
      </c>
      <c r="AH36">
        <v>150.16092329996101</v>
      </c>
      <c r="AI36">
        <v>150.17327889997901</v>
      </c>
      <c r="AJ36">
        <v>150.17327889997901</v>
      </c>
      <c r="AK36">
        <v>150.17327889997901</v>
      </c>
      <c r="AL36">
        <v>3.5964000271633198E-3</v>
      </c>
      <c r="AM36">
        <v>159.857573900022</v>
      </c>
      <c r="AN36" t="s">
        <v>150</v>
      </c>
      <c r="AO36" t="s">
        <v>87</v>
      </c>
      <c r="AP36" t="s">
        <v>88</v>
      </c>
      <c r="AQ36" t="s">
        <v>81</v>
      </c>
      <c r="AR36" t="s">
        <v>82</v>
      </c>
      <c r="AS36" t="s">
        <v>82</v>
      </c>
      <c r="AT36" t="s">
        <v>151</v>
      </c>
      <c r="AU36" t="s">
        <v>84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60.006252643251003</v>
      </c>
      <c r="BD36" t="s">
        <v>61</v>
      </c>
    </row>
    <row r="39" spans="2:56" x14ac:dyDescent="0.3">
      <c r="E39" t="s">
        <v>240</v>
      </c>
      <c r="H39">
        <v>11</v>
      </c>
      <c r="I39">
        <f>H39/15</f>
        <v>0.73333333333333328</v>
      </c>
    </row>
    <row r="40" spans="2:56" x14ac:dyDescent="0.3">
      <c r="E40" t="s">
        <v>241</v>
      </c>
      <c r="H40">
        <v>4</v>
      </c>
      <c r="I40">
        <f>4/5</f>
        <v>0.8</v>
      </c>
    </row>
    <row r="42" spans="2:56" x14ac:dyDescent="0.3">
      <c r="E42" t="s">
        <v>242</v>
      </c>
      <c r="G42">
        <f>I39-I40</f>
        <v>-6.6666666666666763E-2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A14" workbookViewId="0">
      <selection activeCell="N40" sqref="N40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70</v>
      </c>
      <c r="B2">
        <v>0</v>
      </c>
      <c r="C2">
        <v>0</v>
      </c>
      <c r="D2">
        <v>0</v>
      </c>
      <c r="E2">
        <v>2.7518518518518502</v>
      </c>
      <c r="F2">
        <v>2.8765803000424</v>
      </c>
      <c r="R2">
        <v>0</v>
      </c>
      <c r="S2">
        <v>0</v>
      </c>
      <c r="T2">
        <v>0</v>
      </c>
      <c r="U2">
        <v>6</v>
      </c>
      <c r="Z2">
        <v>8.3664600038900902E-2</v>
      </c>
      <c r="AB2">
        <v>6.6500200075097299E-2</v>
      </c>
      <c r="AC2">
        <v>8.3664600038900902E-2</v>
      </c>
      <c r="AD2">
        <v>8.3664600038900902E-2</v>
      </c>
      <c r="AE2">
        <v>2.9590855999849701</v>
      </c>
      <c r="AF2">
        <v>2.7518518518518502</v>
      </c>
      <c r="AG2">
        <v>2.8765803000424</v>
      </c>
      <c r="AW2" t="s">
        <v>152</v>
      </c>
      <c r="AX2">
        <v>1</v>
      </c>
      <c r="AY2" t="s">
        <v>153</v>
      </c>
      <c r="AZ2" t="s">
        <v>59</v>
      </c>
      <c r="BB2" t="s">
        <v>60</v>
      </c>
      <c r="BC2">
        <v>59.921861869157901</v>
      </c>
      <c r="BD2" t="s">
        <v>154</v>
      </c>
    </row>
    <row r="3" spans="1:56" x14ac:dyDescent="0.3">
      <c r="A3" t="s">
        <v>67</v>
      </c>
      <c r="B3">
        <v>1</v>
      </c>
      <c r="C3">
        <v>1</v>
      </c>
      <c r="D3">
        <v>0</v>
      </c>
      <c r="E3">
        <v>2.1555555555555501</v>
      </c>
      <c r="F3">
        <v>2.3618939999723798</v>
      </c>
      <c r="R3">
        <v>0</v>
      </c>
      <c r="S3">
        <v>1</v>
      </c>
      <c r="T3">
        <v>1</v>
      </c>
      <c r="U3">
        <v>5</v>
      </c>
      <c r="Z3">
        <v>2.9754473000066302</v>
      </c>
      <c r="AB3">
        <v>2.96472689998336</v>
      </c>
      <c r="AC3">
        <v>2.9754473000066302</v>
      </c>
      <c r="AD3">
        <v>2.9754473000066302</v>
      </c>
      <c r="AE3">
        <v>5.3422939000884</v>
      </c>
      <c r="AF3">
        <v>2.1555555555555501</v>
      </c>
      <c r="AG3">
        <v>2.3618939999723798</v>
      </c>
      <c r="AW3" t="s">
        <v>152</v>
      </c>
      <c r="AX3">
        <v>1</v>
      </c>
      <c r="AY3" t="s">
        <v>153</v>
      </c>
      <c r="AZ3" t="s">
        <v>59</v>
      </c>
      <c r="BB3" t="s">
        <v>60</v>
      </c>
      <c r="BC3">
        <v>59.921861869157901</v>
      </c>
      <c r="BD3" t="s">
        <v>154</v>
      </c>
    </row>
    <row r="4" spans="1:56" x14ac:dyDescent="0.3">
      <c r="A4" t="s">
        <v>75</v>
      </c>
      <c r="B4">
        <v>2</v>
      </c>
      <c r="C4">
        <v>2</v>
      </c>
      <c r="D4">
        <v>0</v>
      </c>
      <c r="E4">
        <v>2.1555555555555501</v>
      </c>
      <c r="F4">
        <v>1.69555600010789</v>
      </c>
      <c r="R4">
        <v>0</v>
      </c>
      <c r="S4">
        <v>2</v>
      </c>
      <c r="T4">
        <v>2</v>
      </c>
      <c r="U4">
        <v>12</v>
      </c>
      <c r="Z4">
        <v>5.3579003000631902</v>
      </c>
      <c r="AB4">
        <v>5.34721390006598</v>
      </c>
      <c r="AC4">
        <v>5.3579003000631902</v>
      </c>
      <c r="AD4">
        <v>5.3579003000631902</v>
      </c>
      <c r="AE4">
        <v>7.0595207000151197</v>
      </c>
      <c r="AF4">
        <v>2.1555555555555501</v>
      </c>
      <c r="AG4">
        <v>1.69555600010789</v>
      </c>
      <c r="AW4" t="s">
        <v>152</v>
      </c>
      <c r="AX4">
        <v>1</v>
      </c>
      <c r="AY4" t="s">
        <v>153</v>
      </c>
      <c r="AZ4" t="s">
        <v>59</v>
      </c>
      <c r="BB4" t="s">
        <v>60</v>
      </c>
      <c r="BC4">
        <v>59.921861869157901</v>
      </c>
      <c r="BD4" t="s">
        <v>154</v>
      </c>
    </row>
    <row r="5" spans="1:56" x14ac:dyDescent="0.3">
      <c r="A5" t="s">
        <v>71</v>
      </c>
      <c r="B5">
        <v>3</v>
      </c>
      <c r="C5">
        <v>3</v>
      </c>
      <c r="D5">
        <v>0</v>
      </c>
      <c r="E5">
        <v>2.1555555555555501</v>
      </c>
      <c r="F5">
        <v>0.99656160001177296</v>
      </c>
      <c r="R5">
        <v>0</v>
      </c>
      <c r="S5">
        <v>3</v>
      </c>
      <c r="T5">
        <v>3</v>
      </c>
      <c r="U5">
        <v>0</v>
      </c>
      <c r="Z5">
        <v>7.0744227999821296</v>
      </c>
      <c r="AB5">
        <v>7.0630600000731603</v>
      </c>
      <c r="AC5">
        <v>7.0744227999821296</v>
      </c>
      <c r="AD5">
        <v>7.0744227999821296</v>
      </c>
      <c r="AE5">
        <v>8.0770924000535107</v>
      </c>
      <c r="AF5">
        <v>2.1555555555555501</v>
      </c>
      <c r="AG5">
        <v>0.99656160001177296</v>
      </c>
      <c r="AW5" t="s">
        <v>152</v>
      </c>
      <c r="AX5">
        <v>1</v>
      </c>
      <c r="AY5" t="s">
        <v>153</v>
      </c>
      <c r="AZ5" t="s">
        <v>59</v>
      </c>
      <c r="BB5" t="s">
        <v>60</v>
      </c>
      <c r="BC5">
        <v>59.921861869157901</v>
      </c>
      <c r="BD5" t="s">
        <v>154</v>
      </c>
    </row>
    <row r="6" spans="1:56" x14ac:dyDescent="0.3">
      <c r="A6" t="s">
        <v>72</v>
      </c>
      <c r="B6">
        <v>4</v>
      </c>
      <c r="C6">
        <v>4</v>
      </c>
      <c r="D6">
        <v>0</v>
      </c>
      <c r="E6">
        <v>2.1555555555555501</v>
      </c>
      <c r="F6">
        <v>0.94250589993316602</v>
      </c>
      <c r="R6">
        <v>0</v>
      </c>
      <c r="S6">
        <v>4</v>
      </c>
      <c r="T6">
        <v>4</v>
      </c>
      <c r="U6">
        <v>13</v>
      </c>
      <c r="Z6">
        <v>8.0908988000592199</v>
      </c>
      <c r="AB6">
        <v>8.0833546000067091</v>
      </c>
      <c r="AC6">
        <v>8.0908988000592199</v>
      </c>
      <c r="AD6">
        <v>8.0908988000592199</v>
      </c>
      <c r="AE6">
        <v>9.0421080000232905</v>
      </c>
      <c r="AF6">
        <v>2.1555555555555501</v>
      </c>
      <c r="AG6">
        <v>0.94250589993316602</v>
      </c>
      <c r="AW6" t="s">
        <v>152</v>
      </c>
      <c r="AX6">
        <v>1</v>
      </c>
      <c r="AY6" t="s">
        <v>153</v>
      </c>
      <c r="AZ6" t="s">
        <v>59</v>
      </c>
      <c r="BB6" t="s">
        <v>60</v>
      </c>
      <c r="BC6">
        <v>59.921861869157901</v>
      </c>
      <c r="BD6" t="s">
        <v>154</v>
      </c>
    </row>
    <row r="7" spans="1:56" x14ac:dyDescent="0.3">
      <c r="A7" t="s">
        <v>64</v>
      </c>
      <c r="B7">
        <v>5</v>
      </c>
      <c r="C7">
        <v>5</v>
      </c>
      <c r="D7">
        <v>0</v>
      </c>
      <c r="E7">
        <v>4.2666666666666604</v>
      </c>
      <c r="F7">
        <v>2.0654864000389299</v>
      </c>
      <c r="R7">
        <v>0</v>
      </c>
      <c r="S7">
        <v>5</v>
      </c>
      <c r="T7">
        <v>5</v>
      </c>
      <c r="U7">
        <v>11</v>
      </c>
      <c r="Z7">
        <v>9.0581001000245998</v>
      </c>
      <c r="AB7">
        <v>9.0443243000190705</v>
      </c>
      <c r="AC7">
        <v>9.0581001000245998</v>
      </c>
      <c r="AD7">
        <v>9.0581001000245998</v>
      </c>
      <c r="AE7">
        <v>11.1256712999893</v>
      </c>
      <c r="AF7">
        <v>4.2666666666666604</v>
      </c>
      <c r="AG7">
        <v>2.0654864000389299</v>
      </c>
      <c r="AW7" t="s">
        <v>152</v>
      </c>
      <c r="AX7">
        <v>1</v>
      </c>
      <c r="AY7" t="s">
        <v>153</v>
      </c>
      <c r="AZ7" t="s">
        <v>59</v>
      </c>
      <c r="BB7" t="s">
        <v>60</v>
      </c>
      <c r="BC7">
        <v>59.921861869157901</v>
      </c>
      <c r="BD7" t="s">
        <v>154</v>
      </c>
    </row>
    <row r="8" spans="1:56" x14ac:dyDescent="0.3">
      <c r="A8" t="s">
        <v>69</v>
      </c>
      <c r="B8">
        <v>6</v>
      </c>
      <c r="C8">
        <v>6</v>
      </c>
      <c r="D8">
        <v>0</v>
      </c>
      <c r="E8">
        <v>2.31481481481481</v>
      </c>
      <c r="F8">
        <v>2.29875339998397</v>
      </c>
      <c r="R8">
        <v>0</v>
      </c>
      <c r="S8">
        <v>6</v>
      </c>
      <c r="T8">
        <v>6</v>
      </c>
      <c r="U8">
        <v>8</v>
      </c>
      <c r="Z8">
        <v>11.1410676999948</v>
      </c>
      <c r="AB8">
        <v>11.1293316000374</v>
      </c>
      <c r="AC8">
        <v>11.1410676999948</v>
      </c>
      <c r="AD8">
        <v>11.1410676999948</v>
      </c>
      <c r="AE8">
        <v>13.4427959000458</v>
      </c>
      <c r="AF8">
        <v>2.31481481481481</v>
      </c>
      <c r="AG8">
        <v>2.29875339998397</v>
      </c>
      <c r="AW8" t="s">
        <v>152</v>
      </c>
      <c r="AX8">
        <v>1</v>
      </c>
      <c r="AY8" t="s">
        <v>153</v>
      </c>
      <c r="AZ8" t="s">
        <v>59</v>
      </c>
      <c r="BB8" t="s">
        <v>60</v>
      </c>
      <c r="BC8">
        <v>59.921861869157901</v>
      </c>
      <c r="BD8" t="s">
        <v>154</v>
      </c>
    </row>
    <row r="9" spans="1:56" x14ac:dyDescent="0.3">
      <c r="A9" t="s">
        <v>63</v>
      </c>
      <c r="B9">
        <v>7</v>
      </c>
      <c r="C9">
        <v>7</v>
      </c>
      <c r="D9">
        <v>0</v>
      </c>
      <c r="E9">
        <v>2.2370370370370298</v>
      </c>
      <c r="F9">
        <v>1.3424032999901101</v>
      </c>
      <c r="R9">
        <v>0</v>
      </c>
      <c r="S9">
        <v>7</v>
      </c>
      <c r="T9">
        <v>7</v>
      </c>
      <c r="U9">
        <v>7</v>
      </c>
      <c r="Z9">
        <v>13.4578847000375</v>
      </c>
      <c r="AB9">
        <v>13.4502130000619</v>
      </c>
      <c r="AC9">
        <v>13.4578847000375</v>
      </c>
      <c r="AD9">
        <v>13.4578847000375</v>
      </c>
      <c r="AE9">
        <v>14.8091046999907</v>
      </c>
      <c r="AF9">
        <v>2.2370370370370298</v>
      </c>
      <c r="AG9">
        <v>1.3424032999901101</v>
      </c>
      <c r="AW9" t="s">
        <v>152</v>
      </c>
      <c r="AX9">
        <v>1</v>
      </c>
      <c r="AY9" t="s">
        <v>153</v>
      </c>
      <c r="AZ9" t="s">
        <v>59</v>
      </c>
      <c r="BB9" t="s">
        <v>60</v>
      </c>
      <c r="BC9">
        <v>59.921861869157901</v>
      </c>
      <c r="BD9" t="s">
        <v>154</v>
      </c>
    </row>
    <row r="10" spans="1:56" x14ac:dyDescent="0.3">
      <c r="A10" t="s">
        <v>62</v>
      </c>
      <c r="B10">
        <v>8</v>
      </c>
      <c r="C10">
        <v>8</v>
      </c>
      <c r="D10">
        <v>0</v>
      </c>
      <c r="E10">
        <v>4.38518518518518</v>
      </c>
      <c r="F10">
        <v>2.0927885000128299</v>
      </c>
      <c r="R10">
        <v>0</v>
      </c>
      <c r="S10">
        <v>8</v>
      </c>
      <c r="T10">
        <v>8</v>
      </c>
      <c r="U10">
        <v>4</v>
      </c>
      <c r="Z10">
        <v>14.8253486000467</v>
      </c>
      <c r="AB10">
        <v>14.816562500083799</v>
      </c>
      <c r="AC10">
        <v>14.8253486000467</v>
      </c>
      <c r="AD10">
        <v>14.8253486000467</v>
      </c>
      <c r="AE10">
        <v>16.925492600072101</v>
      </c>
      <c r="AF10">
        <v>4.38518518518518</v>
      </c>
      <c r="AG10">
        <v>2.0927885000128299</v>
      </c>
      <c r="AW10" t="s">
        <v>152</v>
      </c>
      <c r="AX10">
        <v>1</v>
      </c>
      <c r="AY10" t="s">
        <v>153</v>
      </c>
      <c r="AZ10" t="s">
        <v>59</v>
      </c>
      <c r="BB10" t="s">
        <v>60</v>
      </c>
      <c r="BC10">
        <v>59.921861869157901</v>
      </c>
      <c r="BD10" t="s">
        <v>154</v>
      </c>
    </row>
    <row r="11" spans="1:56" x14ac:dyDescent="0.3">
      <c r="A11" t="s">
        <v>56</v>
      </c>
      <c r="B11">
        <v>9</v>
      </c>
      <c r="C11">
        <v>9</v>
      </c>
      <c r="D11">
        <v>0</v>
      </c>
      <c r="E11">
        <v>4.3925925925925897</v>
      </c>
      <c r="F11">
        <v>1.49717049999162</v>
      </c>
      <c r="R11">
        <v>0</v>
      </c>
      <c r="S11">
        <v>9</v>
      </c>
      <c r="T11">
        <v>9</v>
      </c>
      <c r="U11">
        <v>3</v>
      </c>
      <c r="Z11">
        <v>16.941066900035299</v>
      </c>
      <c r="AB11">
        <v>16.928823600057498</v>
      </c>
      <c r="AC11">
        <v>16.941066900035299</v>
      </c>
      <c r="AD11">
        <v>16.941066900035299</v>
      </c>
      <c r="AE11">
        <v>18.4422533999895</v>
      </c>
      <c r="AF11">
        <v>4.3925925925925897</v>
      </c>
      <c r="AG11">
        <v>1.49717049999162</v>
      </c>
      <c r="AW11" t="s">
        <v>152</v>
      </c>
      <c r="AX11">
        <v>1</v>
      </c>
      <c r="AY11" t="s">
        <v>153</v>
      </c>
      <c r="AZ11" t="s">
        <v>59</v>
      </c>
      <c r="BB11" t="s">
        <v>60</v>
      </c>
      <c r="BC11">
        <v>59.921861869157901</v>
      </c>
      <c r="BD11" t="s">
        <v>154</v>
      </c>
    </row>
    <row r="12" spans="1:56" x14ac:dyDescent="0.3">
      <c r="A12" t="s">
        <v>68</v>
      </c>
      <c r="B12">
        <v>10</v>
      </c>
      <c r="C12">
        <v>10</v>
      </c>
      <c r="D12">
        <v>0</v>
      </c>
      <c r="E12">
        <v>4.3925925925925897</v>
      </c>
      <c r="F12">
        <v>0.996745700016617</v>
      </c>
      <c r="R12">
        <v>0</v>
      </c>
      <c r="S12">
        <v>10</v>
      </c>
      <c r="T12">
        <v>10</v>
      </c>
      <c r="U12">
        <v>14</v>
      </c>
      <c r="Z12">
        <v>18.457960100029499</v>
      </c>
      <c r="AB12">
        <v>18.445984999998402</v>
      </c>
      <c r="AC12">
        <v>18.457960100029499</v>
      </c>
      <c r="AD12">
        <v>18.457960100029499</v>
      </c>
      <c r="AE12">
        <v>19.459051600075298</v>
      </c>
      <c r="AF12">
        <v>4.3925925925925897</v>
      </c>
      <c r="AG12">
        <v>0.996745700016617</v>
      </c>
      <c r="AW12" t="s">
        <v>152</v>
      </c>
      <c r="AX12">
        <v>1</v>
      </c>
      <c r="AY12" t="s">
        <v>153</v>
      </c>
      <c r="AZ12" t="s">
        <v>59</v>
      </c>
      <c r="BB12" t="s">
        <v>60</v>
      </c>
      <c r="BC12">
        <v>59.921861869157901</v>
      </c>
      <c r="BD12" t="s">
        <v>154</v>
      </c>
    </row>
    <row r="13" spans="1:56" x14ac:dyDescent="0.3">
      <c r="A13" t="s">
        <v>73</v>
      </c>
      <c r="B13">
        <v>11</v>
      </c>
      <c r="C13">
        <v>11</v>
      </c>
      <c r="D13">
        <v>0</v>
      </c>
      <c r="E13">
        <v>4.3925925925925897</v>
      </c>
      <c r="F13">
        <v>1.96272019995376</v>
      </c>
      <c r="R13">
        <v>0</v>
      </c>
      <c r="S13">
        <v>11</v>
      </c>
      <c r="T13">
        <v>11</v>
      </c>
      <c r="U13">
        <v>1</v>
      </c>
      <c r="Z13">
        <v>19.474442500039</v>
      </c>
      <c r="AB13">
        <v>19.464686900027999</v>
      </c>
      <c r="AC13">
        <v>19.474442500039</v>
      </c>
      <c r="AD13">
        <v>19.474442500039</v>
      </c>
      <c r="AE13">
        <v>21.442460100049999</v>
      </c>
      <c r="AF13">
        <v>4.3925925925925897</v>
      </c>
      <c r="AG13">
        <v>1.96272019995376</v>
      </c>
      <c r="AW13" t="s">
        <v>152</v>
      </c>
      <c r="AX13">
        <v>1</v>
      </c>
      <c r="AY13" t="s">
        <v>153</v>
      </c>
      <c r="AZ13" t="s">
        <v>59</v>
      </c>
      <c r="BB13" t="s">
        <v>60</v>
      </c>
      <c r="BC13">
        <v>59.921861869157901</v>
      </c>
      <c r="BD13" t="s">
        <v>154</v>
      </c>
    </row>
    <row r="14" spans="1:56" x14ac:dyDescent="0.3">
      <c r="A14" t="s">
        <v>65</v>
      </c>
      <c r="B14">
        <v>12</v>
      </c>
      <c r="C14">
        <v>12</v>
      </c>
      <c r="D14">
        <v>0</v>
      </c>
      <c r="E14">
        <v>4.3925925925925897</v>
      </c>
      <c r="F14">
        <v>1.2631249000551099</v>
      </c>
      <c r="R14">
        <v>0</v>
      </c>
      <c r="S14">
        <v>12</v>
      </c>
      <c r="T14">
        <v>12</v>
      </c>
      <c r="U14">
        <v>10</v>
      </c>
      <c r="Z14">
        <v>21.457887200056501</v>
      </c>
      <c r="AB14">
        <v>21.447019300074299</v>
      </c>
      <c r="AC14">
        <v>21.457887200056501</v>
      </c>
      <c r="AD14">
        <v>21.457887200056501</v>
      </c>
      <c r="AE14">
        <v>22.725337799987699</v>
      </c>
      <c r="AF14">
        <v>4.3925925925925897</v>
      </c>
      <c r="AG14">
        <v>1.2631249000551099</v>
      </c>
      <c r="AW14" t="s">
        <v>152</v>
      </c>
      <c r="AX14">
        <v>1</v>
      </c>
      <c r="AY14" t="s">
        <v>153</v>
      </c>
      <c r="AZ14" t="s">
        <v>59</v>
      </c>
      <c r="BB14" t="s">
        <v>60</v>
      </c>
      <c r="BC14">
        <v>59.921861869157901</v>
      </c>
      <c r="BD14" t="s">
        <v>154</v>
      </c>
    </row>
    <row r="15" spans="1:56" x14ac:dyDescent="0.3">
      <c r="A15" t="s">
        <v>66</v>
      </c>
      <c r="B15">
        <v>13</v>
      </c>
      <c r="C15">
        <v>13</v>
      </c>
      <c r="D15">
        <v>0</v>
      </c>
      <c r="E15">
        <v>4.3925925925925897</v>
      </c>
      <c r="F15">
        <v>1.5141542999772299</v>
      </c>
      <c r="R15">
        <v>0</v>
      </c>
      <c r="S15">
        <v>13</v>
      </c>
      <c r="T15">
        <v>13</v>
      </c>
      <c r="U15">
        <v>9</v>
      </c>
      <c r="Z15">
        <v>22.7408928000368</v>
      </c>
      <c r="AB15">
        <v>22.728481600060999</v>
      </c>
      <c r="AC15">
        <v>22.7408928000368</v>
      </c>
      <c r="AD15">
        <v>22.7408928000368</v>
      </c>
      <c r="AE15">
        <v>24.258820399991201</v>
      </c>
      <c r="AF15">
        <v>4.3925925925925897</v>
      </c>
      <c r="AG15">
        <v>1.5141542999772299</v>
      </c>
      <c r="AW15" t="s">
        <v>152</v>
      </c>
      <c r="AX15">
        <v>1</v>
      </c>
      <c r="AY15" t="s">
        <v>153</v>
      </c>
      <c r="AZ15" t="s">
        <v>59</v>
      </c>
      <c r="BB15" t="s">
        <v>60</v>
      </c>
      <c r="BC15">
        <v>59.921861869157901</v>
      </c>
      <c r="BD15" t="s">
        <v>154</v>
      </c>
    </row>
    <row r="16" spans="1:56" x14ac:dyDescent="0.3">
      <c r="A16" t="s">
        <v>74</v>
      </c>
      <c r="B16">
        <v>14</v>
      </c>
      <c r="C16">
        <v>14</v>
      </c>
      <c r="D16">
        <v>0</v>
      </c>
      <c r="E16">
        <v>1.6037037037037001</v>
      </c>
      <c r="F16">
        <v>1.8476307999808299</v>
      </c>
      <c r="R16">
        <v>0</v>
      </c>
      <c r="S16">
        <v>14</v>
      </c>
      <c r="T16">
        <v>14</v>
      </c>
      <c r="U16">
        <v>2</v>
      </c>
      <c r="Z16">
        <v>24.274528000038099</v>
      </c>
      <c r="AB16">
        <v>24.262420300045001</v>
      </c>
      <c r="AC16">
        <v>24.274528000038099</v>
      </c>
      <c r="AD16">
        <v>24.274528000038099</v>
      </c>
      <c r="AE16">
        <v>26.126243300037402</v>
      </c>
      <c r="AF16">
        <v>1.6037037037037001</v>
      </c>
      <c r="AG16">
        <v>1.8476307999808299</v>
      </c>
      <c r="AW16" t="s">
        <v>152</v>
      </c>
      <c r="AX16">
        <v>1</v>
      </c>
      <c r="AY16" t="s">
        <v>153</v>
      </c>
      <c r="AZ16" t="s">
        <v>59</v>
      </c>
      <c r="BB16" t="s">
        <v>60</v>
      </c>
      <c r="BC16">
        <v>59.921861869157901</v>
      </c>
      <c r="BD16" t="s">
        <v>154</v>
      </c>
    </row>
    <row r="17" spans="2:56" x14ac:dyDescent="0.3">
      <c r="B17">
        <v>0</v>
      </c>
      <c r="C17">
        <v>0</v>
      </c>
      <c r="D17">
        <v>0</v>
      </c>
      <c r="G17" t="s">
        <v>76</v>
      </c>
      <c r="H17" t="s">
        <v>68</v>
      </c>
      <c r="I17" t="s">
        <v>77</v>
      </c>
      <c r="J17" s="1" t="s">
        <v>78</v>
      </c>
      <c r="K17" t="s">
        <v>155</v>
      </c>
      <c r="L17" t="s">
        <v>156</v>
      </c>
      <c r="M17" t="s">
        <v>81</v>
      </c>
      <c r="N17" t="s">
        <v>82</v>
      </c>
      <c r="O17" t="s">
        <v>82</v>
      </c>
      <c r="P17" t="s">
        <v>157</v>
      </c>
      <c r="Q17" t="s">
        <v>84</v>
      </c>
      <c r="V17">
        <v>0</v>
      </c>
      <c r="W17">
        <v>0</v>
      </c>
      <c r="X17">
        <v>0</v>
      </c>
      <c r="Y17">
        <v>9</v>
      </c>
      <c r="Z17">
        <v>26.149177800048999</v>
      </c>
      <c r="AH17">
        <v>26.1415125000057</v>
      </c>
      <c r="AI17">
        <v>26.149177800048999</v>
      </c>
      <c r="AJ17">
        <v>26.149177800048999</v>
      </c>
      <c r="AK17">
        <v>26.149177800048999</v>
      </c>
      <c r="AL17">
        <v>1.5249700052663601E-2</v>
      </c>
      <c r="AM17">
        <v>34.842780000064501</v>
      </c>
      <c r="AN17" t="s">
        <v>78</v>
      </c>
      <c r="AO17" t="s">
        <v>155</v>
      </c>
      <c r="AP17" t="s">
        <v>156</v>
      </c>
      <c r="AQ17" t="s">
        <v>81</v>
      </c>
      <c r="AR17" t="s">
        <v>82</v>
      </c>
      <c r="AS17" t="s">
        <v>82</v>
      </c>
      <c r="AT17" t="s">
        <v>157</v>
      </c>
      <c r="AU17" t="s">
        <v>84</v>
      </c>
      <c r="AW17" t="s">
        <v>152</v>
      </c>
      <c r="AX17">
        <v>1</v>
      </c>
      <c r="AY17" t="s">
        <v>153</v>
      </c>
      <c r="AZ17" t="s">
        <v>59</v>
      </c>
      <c r="BB17" t="s">
        <v>60</v>
      </c>
      <c r="BC17">
        <v>59.921861869157901</v>
      </c>
      <c r="BD17" t="s">
        <v>154</v>
      </c>
    </row>
    <row r="18" spans="2:56" x14ac:dyDescent="0.3">
      <c r="B18">
        <v>1</v>
      </c>
      <c r="C18">
        <v>1</v>
      </c>
      <c r="D18">
        <v>0</v>
      </c>
      <c r="G18" t="s">
        <v>127</v>
      </c>
      <c r="H18" t="s">
        <v>66</v>
      </c>
      <c r="I18" t="s">
        <v>77</v>
      </c>
      <c r="J18" s="1" t="s">
        <v>158</v>
      </c>
      <c r="K18" t="s">
        <v>155</v>
      </c>
      <c r="L18" t="s">
        <v>156</v>
      </c>
      <c r="M18" t="s">
        <v>81</v>
      </c>
      <c r="N18" t="s">
        <v>82</v>
      </c>
      <c r="O18" t="s">
        <v>82</v>
      </c>
      <c r="P18" t="s">
        <v>159</v>
      </c>
      <c r="Q18" t="s">
        <v>84</v>
      </c>
      <c r="V18">
        <v>0</v>
      </c>
      <c r="W18">
        <v>1</v>
      </c>
      <c r="X18">
        <v>1</v>
      </c>
      <c r="Y18">
        <v>4</v>
      </c>
      <c r="Z18">
        <v>34.857961300062001</v>
      </c>
      <c r="AH18">
        <v>34.847274900064797</v>
      </c>
      <c r="AI18">
        <v>34.857961300062001</v>
      </c>
      <c r="AJ18">
        <v>34.857961300062001</v>
      </c>
      <c r="AK18">
        <v>34.857961300062001</v>
      </c>
      <c r="AL18">
        <v>4.3465000344440298E-3</v>
      </c>
      <c r="AM18">
        <v>39.675613600062199</v>
      </c>
      <c r="AN18" t="s">
        <v>158</v>
      </c>
      <c r="AO18" t="s">
        <v>155</v>
      </c>
      <c r="AP18" t="s">
        <v>156</v>
      </c>
      <c r="AQ18" t="s">
        <v>81</v>
      </c>
      <c r="AR18" t="s">
        <v>82</v>
      </c>
      <c r="AS18" t="s">
        <v>82</v>
      </c>
      <c r="AT18" t="s">
        <v>159</v>
      </c>
      <c r="AU18" t="s">
        <v>84</v>
      </c>
      <c r="AW18" t="s">
        <v>152</v>
      </c>
      <c r="AX18">
        <v>1</v>
      </c>
      <c r="AY18" t="s">
        <v>153</v>
      </c>
      <c r="AZ18" t="s">
        <v>59</v>
      </c>
      <c r="BB18" t="s">
        <v>60</v>
      </c>
      <c r="BC18">
        <v>59.921861869157901</v>
      </c>
      <c r="BD18" t="s">
        <v>154</v>
      </c>
    </row>
    <row r="19" spans="2:56" x14ac:dyDescent="0.3">
      <c r="B19">
        <v>2</v>
      </c>
      <c r="C19">
        <v>2</v>
      </c>
      <c r="D19">
        <v>0</v>
      </c>
      <c r="G19" t="s">
        <v>144</v>
      </c>
      <c r="H19" t="s">
        <v>145</v>
      </c>
      <c r="I19" s="3" t="s">
        <v>104</v>
      </c>
      <c r="J19" t="s">
        <v>146</v>
      </c>
      <c r="K19" t="s">
        <v>155</v>
      </c>
      <c r="L19" t="s">
        <v>156</v>
      </c>
      <c r="M19" t="s">
        <v>81</v>
      </c>
      <c r="N19" t="s">
        <v>82</v>
      </c>
      <c r="O19" t="s">
        <v>82</v>
      </c>
      <c r="P19" t="s">
        <v>160</v>
      </c>
      <c r="Q19" t="s">
        <v>84</v>
      </c>
      <c r="V19">
        <v>0</v>
      </c>
      <c r="W19">
        <v>2</v>
      </c>
      <c r="X19">
        <v>2</v>
      </c>
      <c r="Y19">
        <v>15</v>
      </c>
      <c r="Z19">
        <v>39.691219200030901</v>
      </c>
      <c r="AH19">
        <v>39.681070000049601</v>
      </c>
      <c r="AI19">
        <v>39.691219200030901</v>
      </c>
      <c r="AJ19">
        <v>39.691219200030901</v>
      </c>
      <c r="AK19">
        <v>39.691219200030901</v>
      </c>
      <c r="AL19">
        <v>5.3243000293150501E-3</v>
      </c>
      <c r="AM19">
        <v>45.642737700021797</v>
      </c>
      <c r="AN19" t="s">
        <v>146</v>
      </c>
      <c r="AO19" t="s">
        <v>155</v>
      </c>
      <c r="AP19" t="s">
        <v>156</v>
      </c>
      <c r="AQ19" t="s">
        <v>81</v>
      </c>
      <c r="AR19" t="s">
        <v>82</v>
      </c>
      <c r="AS19" t="s">
        <v>82</v>
      </c>
      <c r="AT19" t="s">
        <v>160</v>
      </c>
      <c r="AU19" t="s">
        <v>84</v>
      </c>
      <c r="AW19" t="s">
        <v>152</v>
      </c>
      <c r="AX19">
        <v>1</v>
      </c>
      <c r="AY19" t="s">
        <v>153</v>
      </c>
      <c r="AZ19" t="s">
        <v>59</v>
      </c>
      <c r="BB19" t="s">
        <v>60</v>
      </c>
      <c r="BC19">
        <v>59.921861869157901</v>
      </c>
      <c r="BD19" t="s">
        <v>154</v>
      </c>
    </row>
    <row r="20" spans="2:56" x14ac:dyDescent="0.3">
      <c r="B20">
        <v>3</v>
      </c>
      <c r="C20">
        <v>3</v>
      </c>
      <c r="D20">
        <v>0</v>
      </c>
      <c r="G20" t="s">
        <v>141</v>
      </c>
      <c r="H20" t="s">
        <v>67</v>
      </c>
      <c r="I20" t="s">
        <v>77</v>
      </c>
      <c r="J20" t="s">
        <v>142</v>
      </c>
      <c r="K20" t="s">
        <v>155</v>
      </c>
      <c r="L20" t="s">
        <v>156</v>
      </c>
      <c r="M20" t="s">
        <v>81</v>
      </c>
      <c r="N20" t="s">
        <v>82</v>
      </c>
      <c r="O20" t="s">
        <v>82</v>
      </c>
      <c r="P20" t="s">
        <v>161</v>
      </c>
      <c r="Q20" t="s">
        <v>84</v>
      </c>
      <c r="V20">
        <v>0</v>
      </c>
      <c r="W20">
        <v>3</v>
      </c>
      <c r="X20">
        <v>3</v>
      </c>
      <c r="Y20">
        <v>0</v>
      </c>
      <c r="Z20">
        <v>45.657820700085701</v>
      </c>
      <c r="AH20">
        <v>45.646421700017498</v>
      </c>
      <c r="AI20">
        <v>45.657820700085701</v>
      </c>
      <c r="AJ20">
        <v>45.657820700085701</v>
      </c>
      <c r="AK20">
        <v>45.657820700085701</v>
      </c>
      <c r="AL20">
        <v>3.5500000230967999E-3</v>
      </c>
      <c r="AM20">
        <v>49.392512600053998</v>
      </c>
      <c r="AN20" t="s">
        <v>142</v>
      </c>
      <c r="AO20" t="s">
        <v>155</v>
      </c>
      <c r="AP20" t="s">
        <v>156</v>
      </c>
      <c r="AQ20" t="s">
        <v>81</v>
      </c>
      <c r="AR20" t="s">
        <v>82</v>
      </c>
      <c r="AS20" t="s">
        <v>82</v>
      </c>
      <c r="AT20" t="s">
        <v>161</v>
      </c>
      <c r="AU20" t="s">
        <v>84</v>
      </c>
      <c r="AW20" t="s">
        <v>152</v>
      </c>
      <c r="AX20">
        <v>1</v>
      </c>
      <c r="AY20" t="s">
        <v>153</v>
      </c>
      <c r="AZ20" t="s">
        <v>59</v>
      </c>
      <c r="BB20" t="s">
        <v>60</v>
      </c>
      <c r="BC20">
        <v>59.921861869157901</v>
      </c>
      <c r="BD20" t="s">
        <v>154</v>
      </c>
    </row>
    <row r="21" spans="2:56" x14ac:dyDescent="0.3">
      <c r="B21">
        <v>4</v>
      </c>
      <c r="C21">
        <v>4</v>
      </c>
      <c r="D21">
        <v>0</v>
      </c>
      <c r="G21" t="s">
        <v>93</v>
      </c>
      <c r="H21" t="s">
        <v>94</v>
      </c>
      <c r="I21" t="s">
        <v>77</v>
      </c>
      <c r="J21" t="s">
        <v>56</v>
      </c>
      <c r="K21" t="s">
        <v>155</v>
      </c>
      <c r="L21" t="s">
        <v>156</v>
      </c>
      <c r="M21" t="s">
        <v>81</v>
      </c>
      <c r="N21" t="s">
        <v>82</v>
      </c>
      <c r="O21" t="s">
        <v>82</v>
      </c>
      <c r="P21" t="s">
        <v>162</v>
      </c>
      <c r="Q21" t="s">
        <v>84</v>
      </c>
      <c r="V21">
        <v>0</v>
      </c>
      <c r="W21">
        <v>4</v>
      </c>
      <c r="X21">
        <v>4</v>
      </c>
      <c r="Y21">
        <v>11</v>
      </c>
      <c r="Z21">
        <v>49.407838999992201</v>
      </c>
      <c r="AH21">
        <v>49.395752900047199</v>
      </c>
      <c r="AI21">
        <v>49.407838999992201</v>
      </c>
      <c r="AJ21">
        <v>49.407838999992201</v>
      </c>
      <c r="AK21">
        <v>49.407838999992201</v>
      </c>
      <c r="AL21">
        <v>3.1430000672116802E-3</v>
      </c>
      <c r="AM21">
        <v>55.325761300045997</v>
      </c>
      <c r="AN21" t="s">
        <v>56</v>
      </c>
      <c r="AO21" t="s">
        <v>155</v>
      </c>
      <c r="AP21" t="s">
        <v>156</v>
      </c>
      <c r="AQ21" t="s">
        <v>81</v>
      </c>
      <c r="AR21" t="s">
        <v>82</v>
      </c>
      <c r="AS21" t="s">
        <v>82</v>
      </c>
      <c r="AT21" t="s">
        <v>162</v>
      </c>
      <c r="AU21" t="s">
        <v>84</v>
      </c>
      <c r="AW21" t="s">
        <v>152</v>
      </c>
      <c r="AX21">
        <v>1</v>
      </c>
      <c r="AY21" t="s">
        <v>153</v>
      </c>
      <c r="AZ21" t="s">
        <v>59</v>
      </c>
      <c r="BB21" t="s">
        <v>60</v>
      </c>
      <c r="BC21">
        <v>59.921861869157901</v>
      </c>
      <c r="BD21" t="s">
        <v>154</v>
      </c>
    </row>
    <row r="22" spans="2:56" x14ac:dyDescent="0.3">
      <c r="B22">
        <v>5</v>
      </c>
      <c r="C22">
        <v>5</v>
      </c>
      <c r="D22">
        <v>0</v>
      </c>
      <c r="G22" t="s">
        <v>114</v>
      </c>
      <c r="H22" t="s">
        <v>75</v>
      </c>
      <c r="I22" t="s">
        <v>77</v>
      </c>
      <c r="J22" t="s">
        <v>115</v>
      </c>
      <c r="K22" t="s">
        <v>155</v>
      </c>
      <c r="L22" t="s">
        <v>156</v>
      </c>
      <c r="M22" t="s">
        <v>81</v>
      </c>
      <c r="N22" t="s">
        <v>82</v>
      </c>
      <c r="O22" t="s">
        <v>82</v>
      </c>
      <c r="P22" t="s">
        <v>163</v>
      </c>
      <c r="Q22" t="s">
        <v>84</v>
      </c>
      <c r="V22">
        <v>0</v>
      </c>
      <c r="W22">
        <v>5</v>
      </c>
      <c r="X22">
        <v>5</v>
      </c>
      <c r="Y22">
        <v>7</v>
      </c>
      <c r="Z22">
        <v>55.341108000022302</v>
      </c>
      <c r="AH22">
        <v>55.328956800047301</v>
      </c>
      <c r="AI22">
        <v>55.341108000022302</v>
      </c>
      <c r="AJ22">
        <v>55.341108000022302</v>
      </c>
      <c r="AK22">
        <v>55.341108000022302</v>
      </c>
      <c r="AL22">
        <v>3.06480005383491E-3</v>
      </c>
      <c r="AM22">
        <v>60.709238899988101</v>
      </c>
      <c r="AN22" t="s">
        <v>115</v>
      </c>
      <c r="AO22" t="s">
        <v>155</v>
      </c>
      <c r="AP22" t="s">
        <v>156</v>
      </c>
      <c r="AQ22" t="s">
        <v>81</v>
      </c>
      <c r="AR22" t="s">
        <v>82</v>
      </c>
      <c r="AS22" t="s">
        <v>82</v>
      </c>
      <c r="AT22" t="s">
        <v>163</v>
      </c>
      <c r="AU22" t="s">
        <v>84</v>
      </c>
      <c r="AW22" t="s">
        <v>152</v>
      </c>
      <c r="AX22">
        <v>1</v>
      </c>
      <c r="AY22" t="s">
        <v>153</v>
      </c>
      <c r="AZ22" t="s">
        <v>59</v>
      </c>
      <c r="BB22" t="s">
        <v>60</v>
      </c>
      <c r="BC22">
        <v>59.921861869157901</v>
      </c>
      <c r="BD22" t="s">
        <v>154</v>
      </c>
    </row>
    <row r="23" spans="2:56" x14ac:dyDescent="0.3">
      <c r="B23">
        <v>6</v>
      </c>
      <c r="C23">
        <v>6</v>
      </c>
      <c r="D23">
        <v>0</v>
      </c>
      <c r="G23" t="s">
        <v>107</v>
      </c>
      <c r="H23" t="s">
        <v>65</v>
      </c>
      <c r="I23" t="s">
        <v>77</v>
      </c>
      <c r="J23" t="s">
        <v>108</v>
      </c>
      <c r="K23" t="s">
        <v>155</v>
      </c>
      <c r="L23" t="s">
        <v>156</v>
      </c>
      <c r="M23" t="s">
        <v>81</v>
      </c>
      <c r="N23" t="s">
        <v>82</v>
      </c>
      <c r="O23" t="s">
        <v>82</v>
      </c>
      <c r="P23" t="s">
        <v>164</v>
      </c>
      <c r="Q23" t="s">
        <v>84</v>
      </c>
      <c r="V23">
        <v>0</v>
      </c>
      <c r="W23">
        <v>6</v>
      </c>
      <c r="X23">
        <v>6</v>
      </c>
      <c r="Y23">
        <v>5</v>
      </c>
      <c r="Z23">
        <v>60.725178100052197</v>
      </c>
      <c r="AH23">
        <v>60.715034699998697</v>
      </c>
      <c r="AI23">
        <v>60.725178100052197</v>
      </c>
      <c r="AJ23">
        <v>60.725178100052197</v>
      </c>
      <c r="AK23">
        <v>60.725178100052197</v>
      </c>
      <c r="AL23">
        <v>5.6062999647110701E-3</v>
      </c>
      <c r="AM23">
        <v>64.608977399999205</v>
      </c>
      <c r="AN23" t="s">
        <v>108</v>
      </c>
      <c r="AO23" t="s">
        <v>155</v>
      </c>
      <c r="AP23" t="s">
        <v>156</v>
      </c>
      <c r="AQ23" t="s">
        <v>81</v>
      </c>
      <c r="AR23" t="s">
        <v>82</v>
      </c>
      <c r="AS23" t="s">
        <v>82</v>
      </c>
      <c r="AT23" t="s">
        <v>164</v>
      </c>
      <c r="AU23" t="s">
        <v>84</v>
      </c>
      <c r="AW23" t="s">
        <v>152</v>
      </c>
      <c r="AX23">
        <v>1</v>
      </c>
      <c r="AY23" t="s">
        <v>153</v>
      </c>
      <c r="AZ23" t="s">
        <v>59</v>
      </c>
      <c r="BB23" t="s">
        <v>60</v>
      </c>
      <c r="BC23">
        <v>59.921861869157901</v>
      </c>
      <c r="BD23" t="s">
        <v>154</v>
      </c>
    </row>
    <row r="24" spans="2:56" x14ac:dyDescent="0.3">
      <c r="B24">
        <v>7</v>
      </c>
      <c r="C24">
        <v>7</v>
      </c>
      <c r="D24">
        <v>0</v>
      </c>
      <c r="G24" t="s">
        <v>90</v>
      </c>
      <c r="H24" t="s">
        <v>64</v>
      </c>
      <c r="I24" t="s">
        <v>77</v>
      </c>
      <c r="J24" t="s">
        <v>91</v>
      </c>
      <c r="K24" t="s">
        <v>155</v>
      </c>
      <c r="L24" t="s">
        <v>156</v>
      </c>
      <c r="M24" t="s">
        <v>81</v>
      </c>
      <c r="N24" t="s">
        <v>82</v>
      </c>
      <c r="O24" t="s">
        <v>82</v>
      </c>
      <c r="P24" t="s">
        <v>165</v>
      </c>
      <c r="Q24" t="s">
        <v>84</v>
      </c>
      <c r="V24">
        <v>0</v>
      </c>
      <c r="W24">
        <v>7</v>
      </c>
      <c r="X24">
        <v>7</v>
      </c>
      <c r="Y24">
        <v>6</v>
      </c>
      <c r="Z24">
        <v>64.624531000037607</v>
      </c>
      <c r="AH24">
        <v>64.612473700079093</v>
      </c>
      <c r="AI24">
        <v>64.624531000037607</v>
      </c>
      <c r="AJ24">
        <v>64.624531000037607</v>
      </c>
      <c r="AK24">
        <v>64.624531000037607</v>
      </c>
      <c r="AL24">
        <v>3.4105000086128699E-3</v>
      </c>
      <c r="AM24">
        <v>76.7609598999843</v>
      </c>
      <c r="AN24" t="s">
        <v>91</v>
      </c>
      <c r="AO24" t="s">
        <v>155</v>
      </c>
      <c r="AP24" t="s">
        <v>156</v>
      </c>
      <c r="AQ24" t="s">
        <v>81</v>
      </c>
      <c r="AR24" t="s">
        <v>82</v>
      </c>
      <c r="AS24" t="s">
        <v>82</v>
      </c>
      <c r="AT24" t="s">
        <v>165</v>
      </c>
      <c r="AU24" t="s">
        <v>84</v>
      </c>
      <c r="AV24">
        <v>74.624688300071199</v>
      </c>
      <c r="AW24" t="s">
        <v>152</v>
      </c>
      <c r="AX24">
        <v>1</v>
      </c>
      <c r="AY24" t="s">
        <v>153</v>
      </c>
      <c r="AZ24" t="s">
        <v>59</v>
      </c>
      <c r="BB24" t="s">
        <v>60</v>
      </c>
      <c r="BC24">
        <v>59.921861869157901</v>
      </c>
      <c r="BD24" t="s">
        <v>154</v>
      </c>
    </row>
    <row r="25" spans="2:56" x14ac:dyDescent="0.3">
      <c r="B25">
        <v>8</v>
      </c>
      <c r="C25">
        <v>8</v>
      </c>
      <c r="D25">
        <v>0</v>
      </c>
      <c r="G25" t="s">
        <v>130</v>
      </c>
      <c r="H25" t="s">
        <v>131</v>
      </c>
      <c r="I25" s="3" t="s">
        <v>104</v>
      </c>
      <c r="J25" t="s">
        <v>132</v>
      </c>
      <c r="K25" t="s">
        <v>155</v>
      </c>
      <c r="L25" t="s">
        <v>156</v>
      </c>
      <c r="M25" t="s">
        <v>81</v>
      </c>
      <c r="N25" t="s">
        <v>82</v>
      </c>
      <c r="O25" t="s">
        <v>82</v>
      </c>
      <c r="P25" t="s">
        <v>166</v>
      </c>
      <c r="Q25" t="s">
        <v>84</v>
      </c>
      <c r="V25">
        <v>0</v>
      </c>
      <c r="W25">
        <v>8</v>
      </c>
      <c r="X25">
        <v>8</v>
      </c>
      <c r="Y25">
        <v>18</v>
      </c>
      <c r="Z25">
        <v>76.779529700055704</v>
      </c>
      <c r="AH25">
        <v>76.767382699996205</v>
      </c>
      <c r="AI25">
        <v>76.779529700055704</v>
      </c>
      <c r="AJ25">
        <v>76.779529700055704</v>
      </c>
      <c r="AK25">
        <v>76.779529700055704</v>
      </c>
      <c r="AL25">
        <v>6.0846999986097199E-3</v>
      </c>
      <c r="AM25">
        <v>81.993135700002298</v>
      </c>
      <c r="AN25" t="s">
        <v>132</v>
      </c>
      <c r="AO25" t="s">
        <v>155</v>
      </c>
      <c r="AP25" t="s">
        <v>156</v>
      </c>
      <c r="AQ25" t="s">
        <v>81</v>
      </c>
      <c r="AR25" t="s">
        <v>82</v>
      </c>
      <c r="AS25" t="s">
        <v>82</v>
      </c>
      <c r="AT25" t="s">
        <v>166</v>
      </c>
      <c r="AU25" t="s">
        <v>84</v>
      </c>
      <c r="AW25" t="s">
        <v>152</v>
      </c>
      <c r="AX25">
        <v>1</v>
      </c>
      <c r="AY25" t="s">
        <v>153</v>
      </c>
      <c r="AZ25" t="s">
        <v>59</v>
      </c>
      <c r="BB25" t="s">
        <v>60</v>
      </c>
      <c r="BC25">
        <v>59.921861869157901</v>
      </c>
      <c r="BD25" t="s">
        <v>154</v>
      </c>
    </row>
    <row r="26" spans="2:56" x14ac:dyDescent="0.3">
      <c r="B26">
        <v>9</v>
      </c>
      <c r="C26">
        <v>9</v>
      </c>
      <c r="D26">
        <v>0</v>
      </c>
      <c r="G26" t="s">
        <v>85</v>
      </c>
      <c r="H26" t="s">
        <v>86</v>
      </c>
      <c r="I26" t="s">
        <v>77</v>
      </c>
      <c r="J26" t="s">
        <v>62</v>
      </c>
      <c r="K26" t="s">
        <v>155</v>
      </c>
      <c r="L26" t="s">
        <v>156</v>
      </c>
      <c r="M26" t="s">
        <v>81</v>
      </c>
      <c r="N26" t="s">
        <v>82</v>
      </c>
      <c r="O26" t="s">
        <v>82</v>
      </c>
      <c r="P26" t="s">
        <v>167</v>
      </c>
      <c r="Q26" t="s">
        <v>84</v>
      </c>
      <c r="V26">
        <v>0</v>
      </c>
      <c r="W26">
        <v>9</v>
      </c>
      <c r="X26">
        <v>9</v>
      </c>
      <c r="Y26">
        <v>10</v>
      </c>
      <c r="Z26">
        <v>82.014393500052293</v>
      </c>
      <c r="AH26">
        <v>82.0005512000061</v>
      </c>
      <c r="AI26">
        <v>82.014393500052293</v>
      </c>
      <c r="AJ26">
        <v>82.014393500052293</v>
      </c>
      <c r="AK26">
        <v>82.014393500052293</v>
      </c>
      <c r="AL26">
        <v>7.0924999890848899E-3</v>
      </c>
      <c r="AM26">
        <v>88.376349500031196</v>
      </c>
      <c r="AN26" t="s">
        <v>62</v>
      </c>
      <c r="AO26" t="s">
        <v>155</v>
      </c>
      <c r="AP26" t="s">
        <v>156</v>
      </c>
      <c r="AQ26" t="s">
        <v>81</v>
      </c>
      <c r="AR26" t="s">
        <v>82</v>
      </c>
      <c r="AS26" t="s">
        <v>82</v>
      </c>
      <c r="AT26" t="s">
        <v>167</v>
      </c>
      <c r="AU26" t="s">
        <v>84</v>
      </c>
      <c r="AW26" t="s">
        <v>152</v>
      </c>
      <c r="AX26">
        <v>1</v>
      </c>
      <c r="AY26" t="s">
        <v>153</v>
      </c>
      <c r="AZ26" t="s">
        <v>59</v>
      </c>
      <c r="BB26" t="s">
        <v>60</v>
      </c>
      <c r="BC26">
        <v>59.921861869157901</v>
      </c>
      <c r="BD26" t="s">
        <v>154</v>
      </c>
    </row>
    <row r="27" spans="2:56" x14ac:dyDescent="0.3">
      <c r="B27">
        <v>10</v>
      </c>
      <c r="C27">
        <v>10</v>
      </c>
      <c r="D27">
        <v>0</v>
      </c>
      <c r="G27" t="s">
        <v>110</v>
      </c>
      <c r="H27" t="s">
        <v>111</v>
      </c>
      <c r="I27" t="s">
        <v>77</v>
      </c>
      <c r="J27" s="1" t="s">
        <v>112</v>
      </c>
      <c r="K27" t="s">
        <v>155</v>
      </c>
      <c r="L27" t="s">
        <v>156</v>
      </c>
      <c r="M27" t="s">
        <v>81</v>
      </c>
      <c r="N27" t="s">
        <v>82</v>
      </c>
      <c r="O27" t="s">
        <v>82</v>
      </c>
      <c r="P27" t="s">
        <v>168</v>
      </c>
      <c r="Q27" t="s">
        <v>84</v>
      </c>
      <c r="V27">
        <v>0</v>
      </c>
      <c r="W27">
        <v>10</v>
      </c>
      <c r="X27">
        <v>10</v>
      </c>
      <c r="Y27">
        <v>2</v>
      </c>
      <c r="Z27">
        <v>88.392320399987497</v>
      </c>
      <c r="AH27">
        <v>88.3819204000756</v>
      </c>
      <c r="AI27">
        <v>88.392320399987497</v>
      </c>
      <c r="AJ27">
        <v>88.392320399987497</v>
      </c>
      <c r="AK27">
        <v>88.392320399987497</v>
      </c>
      <c r="AL27">
        <v>5.4048000602051598E-3</v>
      </c>
      <c r="AM27">
        <v>92.926761200069393</v>
      </c>
      <c r="AN27" t="s">
        <v>112</v>
      </c>
      <c r="AO27" t="s">
        <v>155</v>
      </c>
      <c r="AP27" t="s">
        <v>156</v>
      </c>
      <c r="AQ27" t="s">
        <v>81</v>
      </c>
      <c r="AR27" t="s">
        <v>82</v>
      </c>
      <c r="AS27" t="s">
        <v>82</v>
      </c>
      <c r="AT27" t="s">
        <v>168</v>
      </c>
      <c r="AU27" t="s">
        <v>84</v>
      </c>
      <c r="AW27" t="s">
        <v>152</v>
      </c>
      <c r="AX27">
        <v>1</v>
      </c>
      <c r="AY27" t="s">
        <v>153</v>
      </c>
      <c r="AZ27" t="s">
        <v>59</v>
      </c>
      <c r="BB27" t="s">
        <v>60</v>
      </c>
      <c r="BC27">
        <v>59.921861869157901</v>
      </c>
      <c r="BD27" t="s">
        <v>154</v>
      </c>
    </row>
    <row r="28" spans="2:56" x14ac:dyDescent="0.3">
      <c r="B28">
        <v>11</v>
      </c>
      <c r="C28">
        <v>11</v>
      </c>
      <c r="D28">
        <v>0</v>
      </c>
      <c r="G28" t="s">
        <v>100</v>
      </c>
      <c r="H28" t="s">
        <v>69</v>
      </c>
      <c r="I28" t="s">
        <v>77</v>
      </c>
      <c r="J28" t="s">
        <v>69</v>
      </c>
      <c r="K28" t="s">
        <v>169</v>
      </c>
      <c r="L28" t="s">
        <v>170</v>
      </c>
      <c r="M28" t="s">
        <v>81</v>
      </c>
      <c r="N28" t="s">
        <v>82</v>
      </c>
      <c r="O28" t="s">
        <v>82</v>
      </c>
      <c r="P28" t="s">
        <v>171</v>
      </c>
      <c r="Q28" t="s">
        <v>84</v>
      </c>
      <c r="V28">
        <v>0</v>
      </c>
      <c r="W28">
        <v>11</v>
      </c>
      <c r="X28">
        <v>11</v>
      </c>
      <c r="Y28">
        <v>3</v>
      </c>
      <c r="Z28">
        <v>92.944408999988795</v>
      </c>
      <c r="AH28">
        <v>92.930929300025994</v>
      </c>
      <c r="AI28">
        <v>92.944408999988795</v>
      </c>
      <c r="AJ28">
        <v>92.944408999988795</v>
      </c>
      <c r="AK28">
        <v>92.944408999988795</v>
      </c>
      <c r="AL28">
        <v>3.9606000063940796E-3</v>
      </c>
      <c r="AM28">
        <v>98.225814100005607</v>
      </c>
      <c r="AN28" t="s">
        <v>69</v>
      </c>
      <c r="AO28" t="s">
        <v>169</v>
      </c>
      <c r="AP28" t="s">
        <v>170</v>
      </c>
      <c r="AQ28" t="s">
        <v>81</v>
      </c>
      <c r="AR28" t="s">
        <v>82</v>
      </c>
      <c r="AS28" t="s">
        <v>82</v>
      </c>
      <c r="AT28" t="s">
        <v>171</v>
      </c>
      <c r="AU28" t="s">
        <v>84</v>
      </c>
      <c r="AW28" t="s">
        <v>152</v>
      </c>
      <c r="AX28">
        <v>1</v>
      </c>
      <c r="AY28" t="s">
        <v>153</v>
      </c>
      <c r="AZ28" t="s">
        <v>59</v>
      </c>
      <c r="BB28" t="s">
        <v>60</v>
      </c>
      <c r="BC28">
        <v>59.921861869157901</v>
      </c>
      <c r="BD28" t="s">
        <v>154</v>
      </c>
    </row>
    <row r="29" spans="2:56" x14ac:dyDescent="0.3">
      <c r="B29">
        <v>12</v>
      </c>
      <c r="C29">
        <v>12</v>
      </c>
      <c r="D29">
        <v>0</v>
      </c>
      <c r="G29" t="s">
        <v>96</v>
      </c>
      <c r="H29" t="s">
        <v>97</v>
      </c>
      <c r="I29" t="s">
        <v>77</v>
      </c>
      <c r="J29" t="s">
        <v>74</v>
      </c>
      <c r="K29" t="s">
        <v>169</v>
      </c>
      <c r="L29" t="s">
        <v>170</v>
      </c>
      <c r="M29" t="s">
        <v>81</v>
      </c>
      <c r="N29" t="s">
        <v>82</v>
      </c>
      <c r="O29" t="s">
        <v>82</v>
      </c>
      <c r="P29" t="s">
        <v>172</v>
      </c>
      <c r="Q29" t="s">
        <v>84</v>
      </c>
      <c r="V29">
        <v>0</v>
      </c>
      <c r="W29">
        <v>12</v>
      </c>
      <c r="X29">
        <v>12</v>
      </c>
      <c r="Y29">
        <v>12</v>
      </c>
      <c r="Z29">
        <v>98.241340100066694</v>
      </c>
      <c r="AH29">
        <v>98.229933500057001</v>
      </c>
      <c r="AI29">
        <v>98.241340100066694</v>
      </c>
      <c r="AJ29">
        <v>98.241340100066694</v>
      </c>
      <c r="AK29">
        <v>98.241340100066694</v>
      </c>
      <c r="AL29">
        <v>3.9968000492081003E-3</v>
      </c>
      <c r="AM29">
        <v>109.526198800071</v>
      </c>
      <c r="AN29" t="s">
        <v>74</v>
      </c>
      <c r="AO29" t="s">
        <v>169</v>
      </c>
      <c r="AP29" t="s">
        <v>170</v>
      </c>
      <c r="AQ29" t="s">
        <v>81</v>
      </c>
      <c r="AR29" t="s">
        <v>82</v>
      </c>
      <c r="AS29" t="s">
        <v>82</v>
      </c>
      <c r="AT29" t="s">
        <v>172</v>
      </c>
      <c r="AU29" t="s">
        <v>84</v>
      </c>
      <c r="AV29">
        <v>108.241431300062</v>
      </c>
      <c r="AW29" t="s">
        <v>152</v>
      </c>
      <c r="AX29">
        <v>1</v>
      </c>
      <c r="AY29" t="s">
        <v>153</v>
      </c>
      <c r="AZ29" t="s">
        <v>59</v>
      </c>
      <c r="BB29" t="s">
        <v>60</v>
      </c>
      <c r="BC29">
        <v>59.921861869157901</v>
      </c>
      <c r="BD29" t="s">
        <v>154</v>
      </c>
    </row>
    <row r="30" spans="2:56" x14ac:dyDescent="0.3">
      <c r="B30">
        <v>13</v>
      </c>
      <c r="C30">
        <v>13</v>
      </c>
      <c r="D30">
        <v>0</v>
      </c>
      <c r="G30" t="s">
        <v>117</v>
      </c>
      <c r="H30" t="s">
        <v>118</v>
      </c>
      <c r="I30" t="s">
        <v>77</v>
      </c>
      <c r="J30" t="s">
        <v>73</v>
      </c>
      <c r="K30" t="s">
        <v>173</v>
      </c>
      <c r="L30" t="s">
        <v>174</v>
      </c>
      <c r="M30" t="s">
        <v>81</v>
      </c>
      <c r="N30" t="s">
        <v>82</v>
      </c>
      <c r="O30" t="s">
        <v>82</v>
      </c>
      <c r="P30" t="s">
        <v>175</v>
      </c>
      <c r="Q30" t="s">
        <v>84</v>
      </c>
      <c r="V30">
        <v>0</v>
      </c>
      <c r="W30">
        <v>13</v>
      </c>
      <c r="X30">
        <v>13</v>
      </c>
      <c r="Y30">
        <v>14</v>
      </c>
      <c r="Z30">
        <v>109.54123910004201</v>
      </c>
      <c r="AH30">
        <v>109.530587800079</v>
      </c>
      <c r="AI30">
        <v>109.54123910004201</v>
      </c>
      <c r="AJ30">
        <v>109.54123910004201</v>
      </c>
      <c r="AK30">
        <v>109.54123910004201</v>
      </c>
      <c r="AL30">
        <v>4.1768000228330398E-3</v>
      </c>
      <c r="AM30">
        <v>125.62622850004099</v>
      </c>
      <c r="AN30" t="s">
        <v>73</v>
      </c>
      <c r="AO30" t="s">
        <v>173</v>
      </c>
      <c r="AP30" t="s">
        <v>174</v>
      </c>
      <c r="AQ30" t="s">
        <v>81</v>
      </c>
      <c r="AR30" t="s">
        <v>82</v>
      </c>
      <c r="AS30" t="s">
        <v>82</v>
      </c>
      <c r="AT30" t="s">
        <v>175</v>
      </c>
      <c r="AU30" t="s">
        <v>84</v>
      </c>
      <c r="AV30">
        <v>119.541247999994</v>
      </c>
      <c r="AW30" t="s">
        <v>152</v>
      </c>
      <c r="AX30">
        <v>1</v>
      </c>
      <c r="AY30" t="s">
        <v>153</v>
      </c>
      <c r="AZ30" t="s">
        <v>59</v>
      </c>
      <c r="BB30" t="s">
        <v>60</v>
      </c>
      <c r="BC30">
        <v>59.921861869157901</v>
      </c>
      <c r="BD30" t="s">
        <v>154</v>
      </c>
    </row>
    <row r="31" spans="2:56" x14ac:dyDescent="0.3">
      <c r="B31">
        <v>14</v>
      </c>
      <c r="C31">
        <v>14</v>
      </c>
      <c r="D31">
        <v>0</v>
      </c>
      <c r="G31" t="s">
        <v>134</v>
      </c>
      <c r="H31" t="s">
        <v>135</v>
      </c>
      <c r="I31" s="3" t="s">
        <v>104</v>
      </c>
      <c r="J31" s="2" t="s">
        <v>176</v>
      </c>
      <c r="K31" t="s">
        <v>173</v>
      </c>
      <c r="L31" t="s">
        <v>174</v>
      </c>
      <c r="M31" t="s">
        <v>81</v>
      </c>
      <c r="N31" t="s">
        <v>82</v>
      </c>
      <c r="O31" t="s">
        <v>82</v>
      </c>
      <c r="P31" t="s">
        <v>177</v>
      </c>
      <c r="Q31" t="s">
        <v>84</v>
      </c>
      <c r="V31">
        <v>0</v>
      </c>
      <c r="W31">
        <v>14</v>
      </c>
      <c r="X31">
        <v>14</v>
      </c>
      <c r="Y31">
        <v>17</v>
      </c>
      <c r="Z31">
        <v>125.643026100005</v>
      </c>
      <c r="AH31">
        <v>125.633022200083</v>
      </c>
      <c r="AI31">
        <v>125.643026100005</v>
      </c>
      <c r="AJ31">
        <v>125.643026100005</v>
      </c>
      <c r="AK31">
        <v>125.643026100005</v>
      </c>
      <c r="AL31">
        <v>6.6365000093355697E-3</v>
      </c>
      <c r="AM31">
        <v>129.97575320000701</v>
      </c>
      <c r="AN31" t="s">
        <v>176</v>
      </c>
      <c r="AO31" t="s">
        <v>173</v>
      </c>
      <c r="AP31" t="s">
        <v>174</v>
      </c>
      <c r="AQ31" t="s">
        <v>81</v>
      </c>
      <c r="AR31" t="s">
        <v>82</v>
      </c>
      <c r="AS31" t="s">
        <v>82</v>
      </c>
      <c r="AT31" t="s">
        <v>177</v>
      </c>
      <c r="AU31" t="s">
        <v>84</v>
      </c>
      <c r="AW31" t="s">
        <v>152</v>
      </c>
      <c r="AX31">
        <v>1</v>
      </c>
      <c r="AY31" t="s">
        <v>153</v>
      </c>
      <c r="AZ31" t="s">
        <v>59</v>
      </c>
      <c r="BB31" t="s">
        <v>60</v>
      </c>
      <c r="BC31">
        <v>59.921861869157901</v>
      </c>
      <c r="BD31" t="s">
        <v>154</v>
      </c>
    </row>
    <row r="32" spans="2:56" x14ac:dyDescent="0.3">
      <c r="B32">
        <v>15</v>
      </c>
      <c r="C32">
        <v>15</v>
      </c>
      <c r="D32">
        <v>0</v>
      </c>
      <c r="G32" t="s">
        <v>148</v>
      </c>
      <c r="H32" t="s">
        <v>149</v>
      </c>
      <c r="I32" s="3" t="s">
        <v>104</v>
      </c>
      <c r="J32" t="s">
        <v>178</v>
      </c>
      <c r="K32" t="s">
        <v>173</v>
      </c>
      <c r="L32" t="s">
        <v>174</v>
      </c>
      <c r="M32" t="s">
        <v>81</v>
      </c>
      <c r="N32" t="s">
        <v>82</v>
      </c>
      <c r="O32" t="s">
        <v>82</v>
      </c>
      <c r="P32" t="s">
        <v>179</v>
      </c>
      <c r="Q32" t="s">
        <v>84</v>
      </c>
      <c r="V32">
        <v>0</v>
      </c>
      <c r="W32">
        <v>15</v>
      </c>
      <c r="X32">
        <v>15</v>
      </c>
      <c r="Y32">
        <v>16</v>
      </c>
      <c r="Z32">
        <v>129.99109350005099</v>
      </c>
      <c r="AH32">
        <v>129.98018080007699</v>
      </c>
      <c r="AI32">
        <v>129.99109350005099</v>
      </c>
      <c r="AJ32">
        <v>129.99109350005099</v>
      </c>
      <c r="AK32">
        <v>129.99109350005099</v>
      </c>
      <c r="AL32">
        <v>4.0840000146999903E-3</v>
      </c>
      <c r="AM32">
        <v>138.81027650006499</v>
      </c>
      <c r="AN32" t="s">
        <v>178</v>
      </c>
      <c r="AO32" t="s">
        <v>173</v>
      </c>
      <c r="AP32" t="s">
        <v>174</v>
      </c>
      <c r="AQ32" t="s">
        <v>81</v>
      </c>
      <c r="AR32" t="s">
        <v>82</v>
      </c>
      <c r="AS32" t="s">
        <v>82</v>
      </c>
      <c r="AT32" t="s">
        <v>179</v>
      </c>
      <c r="AU32" t="s">
        <v>84</v>
      </c>
      <c r="AW32" t="s">
        <v>152</v>
      </c>
      <c r="AX32">
        <v>1</v>
      </c>
      <c r="AY32" t="s">
        <v>153</v>
      </c>
      <c r="AZ32" t="s">
        <v>59</v>
      </c>
      <c r="BB32" t="s">
        <v>60</v>
      </c>
      <c r="BC32">
        <v>59.921861869157901</v>
      </c>
      <c r="BD32" t="s">
        <v>154</v>
      </c>
    </row>
    <row r="33" spans="2:56" x14ac:dyDescent="0.3">
      <c r="B33">
        <v>16</v>
      </c>
      <c r="C33">
        <v>16</v>
      </c>
      <c r="D33">
        <v>0</v>
      </c>
      <c r="G33" t="s">
        <v>138</v>
      </c>
      <c r="H33" t="s">
        <v>70</v>
      </c>
      <c r="I33" t="s">
        <v>77</v>
      </c>
      <c r="J33" t="s">
        <v>139</v>
      </c>
      <c r="K33" t="s">
        <v>173</v>
      </c>
      <c r="L33" t="s">
        <v>174</v>
      </c>
      <c r="M33" t="s">
        <v>81</v>
      </c>
      <c r="N33" t="s">
        <v>82</v>
      </c>
      <c r="O33" t="s">
        <v>82</v>
      </c>
      <c r="P33" t="s">
        <v>180</v>
      </c>
      <c r="Q33" t="s">
        <v>84</v>
      </c>
      <c r="V33">
        <v>0</v>
      </c>
      <c r="W33">
        <v>16</v>
      </c>
      <c r="X33">
        <v>16</v>
      </c>
      <c r="Y33">
        <v>1</v>
      </c>
      <c r="Z33">
        <v>138.82496490003501</v>
      </c>
      <c r="AH33">
        <v>138.81471339997299</v>
      </c>
      <c r="AI33">
        <v>138.82496490003501</v>
      </c>
      <c r="AJ33">
        <v>138.82496490003501</v>
      </c>
      <c r="AK33">
        <v>138.82496490003501</v>
      </c>
      <c r="AL33">
        <v>4.2436000658199096E-3</v>
      </c>
      <c r="AM33">
        <v>144.092487500049</v>
      </c>
      <c r="AN33" t="s">
        <v>139</v>
      </c>
      <c r="AO33" t="s">
        <v>173</v>
      </c>
      <c r="AP33" t="s">
        <v>174</v>
      </c>
      <c r="AQ33" t="s">
        <v>81</v>
      </c>
      <c r="AR33" t="s">
        <v>82</v>
      </c>
      <c r="AS33" t="s">
        <v>82</v>
      </c>
      <c r="AT33" t="s">
        <v>180</v>
      </c>
      <c r="AU33" t="s">
        <v>84</v>
      </c>
      <c r="AW33" t="s">
        <v>152</v>
      </c>
      <c r="AX33">
        <v>1</v>
      </c>
      <c r="AY33" t="s">
        <v>153</v>
      </c>
      <c r="AZ33" t="s">
        <v>59</v>
      </c>
      <c r="BB33" t="s">
        <v>60</v>
      </c>
      <c r="BC33">
        <v>59.921861869157901</v>
      </c>
      <c r="BD33" t="s">
        <v>154</v>
      </c>
    </row>
    <row r="34" spans="2:56" x14ac:dyDescent="0.3">
      <c r="B34">
        <v>17</v>
      </c>
      <c r="C34">
        <v>17</v>
      </c>
      <c r="D34">
        <v>0</v>
      </c>
      <c r="G34" t="s">
        <v>124</v>
      </c>
      <c r="H34" t="s">
        <v>72</v>
      </c>
      <c r="I34" t="s">
        <v>77</v>
      </c>
      <c r="J34" t="s">
        <v>125</v>
      </c>
      <c r="K34" t="s">
        <v>173</v>
      </c>
      <c r="L34" t="s">
        <v>174</v>
      </c>
      <c r="M34" t="s">
        <v>81</v>
      </c>
      <c r="N34" t="s">
        <v>82</v>
      </c>
      <c r="O34" t="s">
        <v>82</v>
      </c>
      <c r="P34" t="s">
        <v>181</v>
      </c>
      <c r="Q34" t="s">
        <v>84</v>
      </c>
      <c r="V34">
        <v>0</v>
      </c>
      <c r="W34">
        <v>17</v>
      </c>
      <c r="X34">
        <v>17</v>
      </c>
      <c r="Y34">
        <v>8</v>
      </c>
      <c r="Z34">
        <v>144.10915909998499</v>
      </c>
      <c r="AH34">
        <v>144.09701750008301</v>
      </c>
      <c r="AI34">
        <v>144.10915909998499</v>
      </c>
      <c r="AJ34">
        <v>144.10915909998499</v>
      </c>
      <c r="AK34">
        <v>144.10915909998499</v>
      </c>
      <c r="AL34">
        <v>4.3648999417200598E-3</v>
      </c>
      <c r="AM34">
        <v>149.627064800006</v>
      </c>
      <c r="AN34" t="s">
        <v>125</v>
      </c>
      <c r="AO34" t="s">
        <v>173</v>
      </c>
      <c r="AP34" t="s">
        <v>174</v>
      </c>
      <c r="AQ34" t="s">
        <v>81</v>
      </c>
      <c r="AR34" t="s">
        <v>82</v>
      </c>
      <c r="AS34" t="s">
        <v>82</v>
      </c>
      <c r="AT34" t="s">
        <v>181</v>
      </c>
      <c r="AU34" t="s">
        <v>84</v>
      </c>
      <c r="AW34" t="s">
        <v>152</v>
      </c>
      <c r="AX34">
        <v>1</v>
      </c>
      <c r="AY34" t="s">
        <v>153</v>
      </c>
      <c r="AZ34" t="s">
        <v>59</v>
      </c>
      <c r="BB34" t="s">
        <v>60</v>
      </c>
      <c r="BC34">
        <v>59.921861869157901</v>
      </c>
      <c r="BD34" t="s">
        <v>154</v>
      </c>
    </row>
    <row r="35" spans="2:56" x14ac:dyDescent="0.3">
      <c r="B35">
        <v>18</v>
      </c>
      <c r="C35">
        <v>18</v>
      </c>
      <c r="D35">
        <v>0</v>
      </c>
      <c r="G35" t="s">
        <v>102</v>
      </c>
      <c r="H35" t="s">
        <v>103</v>
      </c>
      <c r="I35" s="3" t="s">
        <v>104</v>
      </c>
      <c r="J35" t="s">
        <v>105</v>
      </c>
      <c r="K35" t="s">
        <v>173</v>
      </c>
      <c r="L35" t="s">
        <v>174</v>
      </c>
      <c r="M35" t="s">
        <v>81</v>
      </c>
      <c r="N35" t="s">
        <v>82</v>
      </c>
      <c r="O35" t="s">
        <v>82</v>
      </c>
      <c r="P35" t="s">
        <v>182</v>
      </c>
      <c r="Q35" t="s">
        <v>84</v>
      </c>
      <c r="V35">
        <v>0</v>
      </c>
      <c r="W35">
        <v>18</v>
      </c>
      <c r="X35">
        <v>18</v>
      </c>
      <c r="Y35">
        <v>19</v>
      </c>
      <c r="Z35">
        <v>149.64317070005899</v>
      </c>
      <c r="AH35">
        <v>149.63285480008901</v>
      </c>
      <c r="AI35">
        <v>149.64317070005899</v>
      </c>
      <c r="AJ35">
        <v>149.64317070005899</v>
      </c>
      <c r="AK35">
        <v>149.64317070005899</v>
      </c>
      <c r="AL35">
        <v>5.45130006503313E-3</v>
      </c>
      <c r="AM35">
        <v>155.29257450008299</v>
      </c>
      <c r="AN35" t="s">
        <v>105</v>
      </c>
      <c r="AO35" t="s">
        <v>173</v>
      </c>
      <c r="AP35" t="s">
        <v>174</v>
      </c>
      <c r="AQ35" t="s">
        <v>81</v>
      </c>
      <c r="AR35" t="s">
        <v>82</v>
      </c>
      <c r="AS35" t="s">
        <v>82</v>
      </c>
      <c r="AT35" t="s">
        <v>182</v>
      </c>
      <c r="AU35" t="s">
        <v>84</v>
      </c>
      <c r="AW35" t="s">
        <v>152</v>
      </c>
      <c r="AX35">
        <v>1</v>
      </c>
      <c r="AY35" t="s">
        <v>153</v>
      </c>
      <c r="AZ35" t="s">
        <v>59</v>
      </c>
      <c r="BB35" t="s">
        <v>60</v>
      </c>
      <c r="BC35">
        <v>59.921861869157901</v>
      </c>
      <c r="BD35" t="s">
        <v>154</v>
      </c>
    </row>
    <row r="36" spans="2:56" x14ac:dyDescent="0.3">
      <c r="B36">
        <v>19</v>
      </c>
      <c r="C36">
        <v>19</v>
      </c>
      <c r="D36">
        <v>0</v>
      </c>
      <c r="G36" t="s">
        <v>121</v>
      </c>
      <c r="H36" t="s">
        <v>122</v>
      </c>
      <c r="I36" t="s">
        <v>77</v>
      </c>
      <c r="J36" s="1"/>
      <c r="K36" t="s">
        <v>173</v>
      </c>
      <c r="L36" t="s">
        <v>174</v>
      </c>
      <c r="M36" t="s">
        <v>81</v>
      </c>
      <c r="N36" t="s">
        <v>82</v>
      </c>
      <c r="O36" t="s">
        <v>82</v>
      </c>
      <c r="P36" t="s">
        <v>183</v>
      </c>
      <c r="Q36" t="s">
        <v>84</v>
      </c>
      <c r="V36">
        <v>0</v>
      </c>
      <c r="W36">
        <v>19</v>
      </c>
      <c r="X36">
        <v>19</v>
      </c>
      <c r="Y36">
        <v>13</v>
      </c>
      <c r="Z36">
        <v>155.308195700054</v>
      </c>
      <c r="AH36">
        <v>155.297348399995</v>
      </c>
      <c r="AI36">
        <v>155.308195700054</v>
      </c>
      <c r="AJ36">
        <v>155.308195700054</v>
      </c>
      <c r="AK36">
        <v>155.308195700054</v>
      </c>
      <c r="AL36">
        <v>4.6186000108718803E-3</v>
      </c>
      <c r="AM36">
        <v>156.859256600029</v>
      </c>
      <c r="AO36" t="s">
        <v>173</v>
      </c>
      <c r="AP36" t="s">
        <v>174</v>
      </c>
      <c r="AQ36" t="s">
        <v>81</v>
      </c>
      <c r="AR36" t="s">
        <v>82</v>
      </c>
      <c r="AS36" t="s">
        <v>82</v>
      </c>
      <c r="AT36" t="s">
        <v>183</v>
      </c>
      <c r="AU36" t="s">
        <v>84</v>
      </c>
      <c r="AW36" t="s">
        <v>152</v>
      </c>
      <c r="AX36">
        <v>1</v>
      </c>
      <c r="AY36" t="s">
        <v>153</v>
      </c>
      <c r="AZ36" t="s">
        <v>59</v>
      </c>
      <c r="BB36" t="s">
        <v>60</v>
      </c>
      <c r="BC36">
        <v>59.921861869157901</v>
      </c>
      <c r="BD36" t="s">
        <v>154</v>
      </c>
    </row>
    <row r="38" spans="2:56" x14ac:dyDescent="0.3">
      <c r="G38" t="s">
        <v>240</v>
      </c>
      <c r="J38">
        <v>11</v>
      </c>
      <c r="K38">
        <f>J38/15</f>
        <v>0.73333333333333328</v>
      </c>
      <c r="M38">
        <f>15-4</f>
        <v>11</v>
      </c>
    </row>
    <row r="39" spans="2:56" x14ac:dyDescent="0.3">
      <c r="G39" t="s">
        <v>241</v>
      </c>
      <c r="J39">
        <v>4</v>
      </c>
      <c r="K39">
        <f>J39/5</f>
        <v>0.8</v>
      </c>
    </row>
    <row r="41" spans="2:56" x14ac:dyDescent="0.3">
      <c r="G41" t="s">
        <v>242</v>
      </c>
      <c r="I41">
        <f>K38-K39</f>
        <v>-6.6666666666666763E-2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topLeftCell="A15" workbookViewId="0">
      <selection activeCell="K41" sqref="K41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47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67</v>
      </c>
      <c r="B2">
        <v>0</v>
      </c>
      <c r="C2">
        <v>0</v>
      </c>
      <c r="D2">
        <v>0</v>
      </c>
      <c r="E2">
        <v>1.8592592592592501</v>
      </c>
      <c r="F2">
        <v>2.46997159998863</v>
      </c>
      <c r="R2">
        <v>0</v>
      </c>
      <c r="S2">
        <v>0</v>
      </c>
      <c r="T2">
        <v>0</v>
      </c>
      <c r="U2">
        <v>5</v>
      </c>
      <c r="Z2">
        <v>2.6310199988074601E-2</v>
      </c>
      <c r="AB2">
        <v>1.69824999757111E-2</v>
      </c>
      <c r="AC2">
        <v>2.6310199988074601E-2</v>
      </c>
      <c r="AD2">
        <v>2.6310199988074601E-2</v>
      </c>
      <c r="AE2">
        <v>2.5028317000251201</v>
      </c>
      <c r="AF2">
        <v>1.8592592592592501</v>
      </c>
      <c r="AG2">
        <v>2.46997159998863</v>
      </c>
      <c r="AW2" t="s">
        <v>184</v>
      </c>
      <c r="AX2">
        <v>1</v>
      </c>
      <c r="AY2" t="s">
        <v>185</v>
      </c>
      <c r="AZ2" t="s">
        <v>59</v>
      </c>
      <c r="BB2" t="s">
        <v>60</v>
      </c>
      <c r="BC2">
        <v>59.715039815215597</v>
      </c>
      <c r="BD2" t="s">
        <v>186</v>
      </c>
    </row>
    <row r="3" spans="1:56" x14ac:dyDescent="0.3">
      <c r="A3" t="s">
        <v>74</v>
      </c>
      <c r="B3">
        <v>1</v>
      </c>
      <c r="C3">
        <v>1</v>
      </c>
      <c r="D3">
        <v>0</v>
      </c>
      <c r="E3">
        <v>1.8592592592592501</v>
      </c>
      <c r="F3">
        <v>1.0285068000666699</v>
      </c>
      <c r="R3">
        <v>0</v>
      </c>
      <c r="S3">
        <v>1</v>
      </c>
      <c r="T3">
        <v>1</v>
      </c>
      <c r="U3">
        <v>2</v>
      </c>
      <c r="Z3">
        <v>2.5180932999355701</v>
      </c>
      <c r="AB3">
        <v>2.5082902000285601</v>
      </c>
      <c r="AC3">
        <v>2.5180932999355701</v>
      </c>
      <c r="AD3">
        <v>2.5180932999355701</v>
      </c>
      <c r="AE3">
        <v>3.5523630999960001</v>
      </c>
      <c r="AF3">
        <v>1.8592592592592501</v>
      </c>
      <c r="AG3">
        <v>1.0285068000666699</v>
      </c>
      <c r="AW3" t="s">
        <v>184</v>
      </c>
      <c r="AX3">
        <v>1</v>
      </c>
      <c r="AY3" t="s">
        <v>185</v>
      </c>
      <c r="AZ3" t="s">
        <v>59</v>
      </c>
      <c r="BB3" t="s">
        <v>60</v>
      </c>
      <c r="BC3">
        <v>59.715039815215597</v>
      </c>
      <c r="BD3" t="s">
        <v>186</v>
      </c>
    </row>
    <row r="4" spans="1:56" x14ac:dyDescent="0.3">
      <c r="A4" t="s">
        <v>63</v>
      </c>
      <c r="B4">
        <v>2</v>
      </c>
      <c r="C4">
        <v>2</v>
      </c>
      <c r="D4">
        <v>0</v>
      </c>
      <c r="E4">
        <v>1.8592592592592501</v>
      </c>
      <c r="F4">
        <v>0.19284380006138199</v>
      </c>
      <c r="R4">
        <v>0</v>
      </c>
      <c r="S4">
        <v>2</v>
      </c>
      <c r="T4">
        <v>2</v>
      </c>
      <c r="U4">
        <v>7</v>
      </c>
      <c r="Z4">
        <v>3.5679604000178999</v>
      </c>
      <c r="AB4">
        <v>3.5609200999606401</v>
      </c>
      <c r="AC4">
        <v>3.5679604000178999</v>
      </c>
      <c r="AD4">
        <v>3.5679604000178999</v>
      </c>
      <c r="AE4">
        <v>3.7688475999748299</v>
      </c>
      <c r="AF4">
        <v>1.8592592592592501</v>
      </c>
      <c r="AG4">
        <v>0.19284380006138199</v>
      </c>
      <c r="AW4" t="s">
        <v>184</v>
      </c>
      <c r="AX4">
        <v>1</v>
      </c>
      <c r="AY4" t="s">
        <v>185</v>
      </c>
      <c r="AZ4" t="s">
        <v>59</v>
      </c>
      <c r="BB4" t="s">
        <v>60</v>
      </c>
      <c r="BC4">
        <v>59.715039815215597</v>
      </c>
      <c r="BD4" t="s">
        <v>186</v>
      </c>
    </row>
    <row r="5" spans="1:56" x14ac:dyDescent="0.3">
      <c r="A5" t="s">
        <v>68</v>
      </c>
      <c r="B5">
        <v>3</v>
      </c>
      <c r="C5">
        <v>3</v>
      </c>
      <c r="D5">
        <v>0</v>
      </c>
      <c r="E5">
        <v>4.1740740740740696</v>
      </c>
      <c r="F5">
        <v>2.9464339000405699</v>
      </c>
      <c r="R5">
        <v>0</v>
      </c>
      <c r="S5">
        <v>3</v>
      </c>
      <c r="T5">
        <v>3</v>
      </c>
      <c r="U5">
        <v>14</v>
      </c>
      <c r="Z5">
        <v>3.7849190999986599</v>
      </c>
      <c r="AB5">
        <v>3.7729524000314898</v>
      </c>
      <c r="AC5">
        <v>3.7849190999986599</v>
      </c>
      <c r="AD5">
        <v>3.7849190999986599</v>
      </c>
      <c r="AE5">
        <v>6.73559890000615</v>
      </c>
      <c r="AF5">
        <v>4.1740740740740696</v>
      </c>
      <c r="AG5">
        <v>2.9464339000405699</v>
      </c>
      <c r="AW5" t="s">
        <v>184</v>
      </c>
      <c r="AX5">
        <v>1</v>
      </c>
      <c r="AY5" t="s">
        <v>185</v>
      </c>
      <c r="AZ5" t="s">
        <v>59</v>
      </c>
      <c r="BB5" t="s">
        <v>60</v>
      </c>
      <c r="BC5">
        <v>59.715039815215597</v>
      </c>
      <c r="BD5" t="s">
        <v>186</v>
      </c>
    </row>
    <row r="6" spans="1:56" x14ac:dyDescent="0.3">
      <c r="A6" t="s">
        <v>65</v>
      </c>
      <c r="B6">
        <v>4</v>
      </c>
      <c r="C6">
        <v>4</v>
      </c>
      <c r="D6">
        <v>0</v>
      </c>
      <c r="E6">
        <v>4.1740740740740696</v>
      </c>
      <c r="F6">
        <v>0.94789389998186302</v>
      </c>
      <c r="R6">
        <v>0</v>
      </c>
      <c r="S6">
        <v>4</v>
      </c>
      <c r="T6">
        <v>4</v>
      </c>
      <c r="U6">
        <v>10</v>
      </c>
      <c r="Z6">
        <v>6.7513545999536202</v>
      </c>
      <c r="AB6">
        <v>6.7382646999321798</v>
      </c>
      <c r="AC6">
        <v>6.7513545999536202</v>
      </c>
      <c r="AD6">
        <v>6.7513545999536202</v>
      </c>
      <c r="AE6">
        <v>7.70234139997046</v>
      </c>
      <c r="AF6">
        <v>4.1740740740740696</v>
      </c>
      <c r="AG6">
        <v>0.94789389998186302</v>
      </c>
      <c r="AW6" t="s">
        <v>184</v>
      </c>
      <c r="AX6">
        <v>1</v>
      </c>
      <c r="AY6" t="s">
        <v>185</v>
      </c>
      <c r="AZ6" t="s">
        <v>59</v>
      </c>
      <c r="BB6" t="s">
        <v>60</v>
      </c>
      <c r="BC6">
        <v>59.715039815215597</v>
      </c>
      <c r="BD6" t="s">
        <v>186</v>
      </c>
    </row>
    <row r="7" spans="1:56" x14ac:dyDescent="0.3">
      <c r="A7" t="s">
        <v>69</v>
      </c>
      <c r="B7">
        <v>5</v>
      </c>
      <c r="C7">
        <v>5</v>
      </c>
      <c r="D7">
        <v>0</v>
      </c>
      <c r="E7">
        <v>4.1740740740740696</v>
      </c>
      <c r="F7">
        <v>0.97913839993998397</v>
      </c>
      <c r="R7">
        <v>0</v>
      </c>
      <c r="S7">
        <v>5</v>
      </c>
      <c r="T7">
        <v>5</v>
      </c>
      <c r="U7">
        <v>8</v>
      </c>
      <c r="Z7">
        <v>7.7181555000133804</v>
      </c>
      <c r="AB7">
        <v>7.7069303999887699</v>
      </c>
      <c r="AC7">
        <v>7.7181555000133804</v>
      </c>
      <c r="AD7">
        <v>7.7181555000133804</v>
      </c>
      <c r="AE7">
        <v>8.7022874000249395</v>
      </c>
      <c r="AF7">
        <v>4.1740740740740696</v>
      </c>
      <c r="AG7">
        <v>0.97913839993998397</v>
      </c>
      <c r="AW7" t="s">
        <v>184</v>
      </c>
      <c r="AX7">
        <v>1</v>
      </c>
      <c r="AY7" t="s">
        <v>185</v>
      </c>
      <c r="AZ7" t="s">
        <v>59</v>
      </c>
      <c r="BB7" t="s">
        <v>60</v>
      </c>
      <c r="BC7">
        <v>59.715039815215597</v>
      </c>
      <c r="BD7" t="s">
        <v>186</v>
      </c>
    </row>
    <row r="8" spans="1:56" x14ac:dyDescent="0.3">
      <c r="A8" t="s">
        <v>70</v>
      </c>
      <c r="B8">
        <v>6</v>
      </c>
      <c r="C8">
        <v>6</v>
      </c>
      <c r="D8">
        <v>0</v>
      </c>
      <c r="E8">
        <v>1.82222222222222</v>
      </c>
      <c r="F8">
        <v>2.13165980007033</v>
      </c>
      <c r="R8">
        <v>0</v>
      </c>
      <c r="S8">
        <v>6</v>
      </c>
      <c r="T8">
        <v>6</v>
      </c>
      <c r="U8">
        <v>6</v>
      </c>
      <c r="Z8">
        <v>8.7189135999651608</v>
      </c>
      <c r="AB8">
        <v>8.7045736999716592</v>
      </c>
      <c r="AC8">
        <v>8.7189135999651608</v>
      </c>
      <c r="AD8">
        <v>8.7189135999651608</v>
      </c>
      <c r="AE8">
        <v>10.8522095000371</v>
      </c>
      <c r="AF8">
        <v>1.82222222222222</v>
      </c>
      <c r="AG8">
        <v>2.13165980007033</v>
      </c>
      <c r="AW8" t="s">
        <v>184</v>
      </c>
      <c r="AX8">
        <v>1</v>
      </c>
      <c r="AY8" t="s">
        <v>185</v>
      </c>
      <c r="AZ8" t="s">
        <v>59</v>
      </c>
      <c r="BB8" t="s">
        <v>60</v>
      </c>
      <c r="BC8">
        <v>59.715039815215597</v>
      </c>
      <c r="BD8" t="s">
        <v>186</v>
      </c>
    </row>
    <row r="9" spans="1:56" x14ac:dyDescent="0.3">
      <c r="A9" t="s">
        <v>72</v>
      </c>
      <c r="B9">
        <v>7</v>
      </c>
      <c r="C9">
        <v>7</v>
      </c>
      <c r="D9">
        <v>0</v>
      </c>
      <c r="E9">
        <v>1.82222222222222</v>
      </c>
      <c r="F9">
        <v>0.82737950002774596</v>
      </c>
      <c r="R9">
        <v>0</v>
      </c>
      <c r="S9">
        <v>7</v>
      </c>
      <c r="T9">
        <v>7</v>
      </c>
      <c r="U9">
        <v>13</v>
      </c>
      <c r="Z9">
        <v>10.867835999932099</v>
      </c>
      <c r="AB9">
        <v>10.858580900006899</v>
      </c>
      <c r="AC9">
        <v>10.867835999932099</v>
      </c>
      <c r="AD9">
        <v>10.867835999932099</v>
      </c>
      <c r="AE9">
        <v>11.7022937999572</v>
      </c>
      <c r="AF9">
        <v>1.82222222222222</v>
      </c>
      <c r="AG9">
        <v>0.82737950002774596</v>
      </c>
      <c r="AW9" t="s">
        <v>184</v>
      </c>
      <c r="AX9">
        <v>1</v>
      </c>
      <c r="AY9" t="s">
        <v>185</v>
      </c>
      <c r="AZ9" t="s">
        <v>59</v>
      </c>
      <c r="BB9" t="s">
        <v>60</v>
      </c>
      <c r="BC9">
        <v>59.715039815215597</v>
      </c>
      <c r="BD9" t="s">
        <v>186</v>
      </c>
    </row>
    <row r="10" spans="1:56" x14ac:dyDescent="0.3">
      <c r="A10" t="s">
        <v>62</v>
      </c>
      <c r="B10">
        <v>8</v>
      </c>
      <c r="C10">
        <v>8</v>
      </c>
      <c r="D10">
        <v>0</v>
      </c>
      <c r="E10">
        <v>1.82222222222222</v>
      </c>
      <c r="F10">
        <v>0.79596609994769096</v>
      </c>
      <c r="R10">
        <v>0</v>
      </c>
      <c r="S10">
        <v>8</v>
      </c>
      <c r="T10">
        <v>8</v>
      </c>
      <c r="U10">
        <v>4</v>
      </c>
      <c r="Z10">
        <v>11.717780399951099</v>
      </c>
      <c r="AB10">
        <v>11.7067825000267</v>
      </c>
      <c r="AC10">
        <v>11.717780399951099</v>
      </c>
      <c r="AD10">
        <v>11.717780399951099</v>
      </c>
      <c r="AE10">
        <v>12.5189040999393</v>
      </c>
      <c r="AF10">
        <v>1.82222222222222</v>
      </c>
      <c r="AG10">
        <v>0.79596609994769096</v>
      </c>
      <c r="AW10" t="s">
        <v>184</v>
      </c>
      <c r="AX10">
        <v>1</v>
      </c>
      <c r="AY10" t="s">
        <v>185</v>
      </c>
      <c r="AZ10" t="s">
        <v>59</v>
      </c>
      <c r="BB10" t="s">
        <v>60</v>
      </c>
      <c r="BC10">
        <v>59.715039815215597</v>
      </c>
      <c r="BD10" t="s">
        <v>186</v>
      </c>
    </row>
    <row r="11" spans="1:56" x14ac:dyDescent="0.3">
      <c r="A11" t="s">
        <v>66</v>
      </c>
      <c r="B11">
        <v>9</v>
      </c>
      <c r="C11">
        <v>9</v>
      </c>
      <c r="D11">
        <v>0</v>
      </c>
      <c r="E11">
        <v>3.8407407407407401</v>
      </c>
      <c r="F11">
        <v>1.83073570008855</v>
      </c>
      <c r="R11">
        <v>0</v>
      </c>
      <c r="S11">
        <v>9</v>
      </c>
      <c r="T11">
        <v>9</v>
      </c>
      <c r="U11">
        <v>9</v>
      </c>
      <c r="Z11">
        <v>12.5351194000104</v>
      </c>
      <c r="AB11">
        <v>12.522273199981999</v>
      </c>
      <c r="AC11">
        <v>12.5351194000104</v>
      </c>
      <c r="AD11">
        <v>12.5351194000104</v>
      </c>
      <c r="AE11">
        <v>14.3692571000428</v>
      </c>
      <c r="AF11">
        <v>3.8407407407407401</v>
      </c>
      <c r="AG11">
        <v>1.83073570008855</v>
      </c>
      <c r="AW11" t="s">
        <v>184</v>
      </c>
      <c r="AX11">
        <v>1</v>
      </c>
      <c r="AY11" t="s">
        <v>185</v>
      </c>
      <c r="AZ11" t="s">
        <v>59</v>
      </c>
      <c r="BB11" t="s">
        <v>60</v>
      </c>
      <c r="BC11">
        <v>59.715039815215597</v>
      </c>
      <c r="BD11" t="s">
        <v>186</v>
      </c>
    </row>
    <row r="12" spans="1:56" x14ac:dyDescent="0.3">
      <c r="A12" t="s">
        <v>64</v>
      </c>
      <c r="B12">
        <v>10</v>
      </c>
      <c r="C12">
        <v>10</v>
      </c>
      <c r="D12">
        <v>0</v>
      </c>
      <c r="E12">
        <v>3.8407407407407401</v>
      </c>
      <c r="F12">
        <v>0.764759500045329</v>
      </c>
      <c r="R12">
        <v>0</v>
      </c>
      <c r="S12">
        <v>10</v>
      </c>
      <c r="T12">
        <v>10</v>
      </c>
      <c r="U12">
        <v>11</v>
      </c>
      <c r="Z12">
        <v>14.3849385000066</v>
      </c>
      <c r="AB12">
        <v>14.3718650999944</v>
      </c>
      <c r="AC12">
        <v>14.3849385000066</v>
      </c>
      <c r="AD12">
        <v>14.3849385000066</v>
      </c>
      <c r="AE12">
        <v>15.152502699987901</v>
      </c>
      <c r="AF12">
        <v>3.8407407407407401</v>
      </c>
      <c r="AG12">
        <v>0.764759500045329</v>
      </c>
      <c r="AW12" t="s">
        <v>184</v>
      </c>
      <c r="AX12">
        <v>1</v>
      </c>
      <c r="AY12" t="s">
        <v>185</v>
      </c>
      <c r="AZ12" t="s">
        <v>59</v>
      </c>
      <c r="BB12" t="s">
        <v>60</v>
      </c>
      <c r="BC12">
        <v>59.715039815215597</v>
      </c>
      <c r="BD12" t="s">
        <v>186</v>
      </c>
    </row>
    <row r="13" spans="1:56" x14ac:dyDescent="0.3">
      <c r="A13" t="s">
        <v>56</v>
      </c>
      <c r="B13">
        <v>11</v>
      </c>
      <c r="C13">
        <v>11</v>
      </c>
      <c r="D13">
        <v>0</v>
      </c>
      <c r="E13">
        <v>3.8407407407407401</v>
      </c>
      <c r="F13">
        <v>0.82749260007403702</v>
      </c>
      <c r="R13">
        <v>0</v>
      </c>
      <c r="S13">
        <v>11</v>
      </c>
      <c r="T13">
        <v>11</v>
      </c>
      <c r="U13">
        <v>3</v>
      </c>
      <c r="Z13">
        <v>15.1678169999504</v>
      </c>
      <c r="AB13">
        <v>15.1585709999781</v>
      </c>
      <c r="AC13">
        <v>15.1678169999504</v>
      </c>
      <c r="AD13">
        <v>15.1678169999504</v>
      </c>
      <c r="AE13">
        <v>16.002112900023299</v>
      </c>
      <c r="AF13">
        <v>3.8407407407407401</v>
      </c>
      <c r="AG13">
        <v>0.82749260007403702</v>
      </c>
      <c r="AW13" t="s">
        <v>184</v>
      </c>
      <c r="AX13">
        <v>1</v>
      </c>
      <c r="AY13" t="s">
        <v>185</v>
      </c>
      <c r="AZ13" t="s">
        <v>59</v>
      </c>
      <c r="BB13" t="s">
        <v>60</v>
      </c>
      <c r="BC13">
        <v>59.715039815215597</v>
      </c>
      <c r="BD13" t="s">
        <v>186</v>
      </c>
    </row>
    <row r="14" spans="1:56" x14ac:dyDescent="0.3">
      <c r="A14" t="s">
        <v>73</v>
      </c>
      <c r="B14">
        <v>12</v>
      </c>
      <c r="C14">
        <v>12</v>
      </c>
      <c r="D14">
        <v>0</v>
      </c>
      <c r="E14">
        <v>3.8407407407407401</v>
      </c>
      <c r="F14">
        <v>0.83228159998543505</v>
      </c>
      <c r="R14">
        <v>0</v>
      </c>
      <c r="S14">
        <v>12</v>
      </c>
      <c r="T14">
        <v>12</v>
      </c>
      <c r="U14">
        <v>1</v>
      </c>
      <c r="Z14">
        <v>16.018068799981801</v>
      </c>
      <c r="AB14">
        <v>16.0050848999526</v>
      </c>
      <c r="AC14">
        <v>16.018068799981801</v>
      </c>
      <c r="AD14">
        <v>16.018068799981801</v>
      </c>
      <c r="AE14">
        <v>16.852664000005401</v>
      </c>
      <c r="AF14">
        <v>3.8407407407407401</v>
      </c>
      <c r="AG14">
        <v>0.83228159998543505</v>
      </c>
      <c r="AW14" t="s">
        <v>184</v>
      </c>
      <c r="AX14">
        <v>1</v>
      </c>
      <c r="AY14" t="s">
        <v>185</v>
      </c>
      <c r="AZ14" t="s">
        <v>59</v>
      </c>
      <c r="BB14" t="s">
        <v>60</v>
      </c>
      <c r="BC14">
        <v>59.715039815215597</v>
      </c>
      <c r="BD14" t="s">
        <v>186</v>
      </c>
    </row>
    <row r="15" spans="1:56" x14ac:dyDescent="0.3">
      <c r="A15" t="s">
        <v>71</v>
      </c>
      <c r="B15">
        <v>13</v>
      </c>
      <c r="C15">
        <v>13</v>
      </c>
      <c r="D15">
        <v>0</v>
      </c>
      <c r="E15">
        <v>2.1370370370370302</v>
      </c>
      <c r="F15">
        <v>1.7138973000692199</v>
      </c>
      <c r="R15">
        <v>0</v>
      </c>
      <c r="S15">
        <v>13</v>
      </c>
      <c r="T15">
        <v>13</v>
      </c>
      <c r="U15">
        <v>0</v>
      </c>
      <c r="Z15">
        <v>16.867906700004799</v>
      </c>
      <c r="AB15">
        <v>16.856712299981101</v>
      </c>
      <c r="AC15">
        <v>16.867906700004799</v>
      </c>
      <c r="AD15">
        <v>16.867906700004799</v>
      </c>
      <c r="AE15">
        <v>18.585705399978899</v>
      </c>
      <c r="AF15">
        <v>2.1370370370370302</v>
      </c>
      <c r="AG15">
        <v>1.7138973000692199</v>
      </c>
      <c r="AW15" t="s">
        <v>184</v>
      </c>
      <c r="AX15">
        <v>1</v>
      </c>
      <c r="AY15" t="s">
        <v>185</v>
      </c>
      <c r="AZ15" t="s">
        <v>59</v>
      </c>
      <c r="BB15" t="s">
        <v>60</v>
      </c>
      <c r="BC15">
        <v>59.715039815215597</v>
      </c>
      <c r="BD15" t="s">
        <v>186</v>
      </c>
    </row>
    <row r="16" spans="1:56" x14ac:dyDescent="0.3">
      <c r="A16" t="s">
        <v>75</v>
      </c>
      <c r="B16">
        <v>14</v>
      </c>
      <c r="C16">
        <v>14</v>
      </c>
      <c r="D16">
        <v>0</v>
      </c>
      <c r="E16">
        <v>1.7703703703703699</v>
      </c>
      <c r="F16">
        <v>1.1973635000176699</v>
      </c>
      <c r="R16">
        <v>0</v>
      </c>
      <c r="S16">
        <v>14</v>
      </c>
      <c r="T16">
        <v>14</v>
      </c>
      <c r="U16">
        <v>12</v>
      </c>
      <c r="Z16">
        <v>18.601328299962901</v>
      </c>
      <c r="AB16">
        <v>18.588517999975</v>
      </c>
      <c r="AC16">
        <v>18.601328299962901</v>
      </c>
      <c r="AD16">
        <v>18.601328299962901</v>
      </c>
      <c r="AE16">
        <v>19.802383800037202</v>
      </c>
      <c r="AF16">
        <v>1.7703703703703699</v>
      </c>
      <c r="AG16">
        <v>1.1973635000176699</v>
      </c>
      <c r="AW16" t="s">
        <v>184</v>
      </c>
      <c r="AX16">
        <v>1</v>
      </c>
      <c r="AY16" t="s">
        <v>185</v>
      </c>
      <c r="AZ16" t="s">
        <v>59</v>
      </c>
      <c r="BB16" t="s">
        <v>60</v>
      </c>
      <c r="BC16">
        <v>59.715039815215597</v>
      </c>
      <c r="BD16" t="s">
        <v>186</v>
      </c>
    </row>
    <row r="17" spans="2:56" x14ac:dyDescent="0.3">
      <c r="B17">
        <v>0</v>
      </c>
      <c r="C17">
        <v>0</v>
      </c>
      <c r="D17">
        <v>0</v>
      </c>
      <c r="G17" t="s">
        <v>117</v>
      </c>
      <c r="H17" t="s">
        <v>118</v>
      </c>
      <c r="I17" t="s">
        <v>77</v>
      </c>
      <c r="J17" s="1" t="s">
        <v>187</v>
      </c>
      <c r="K17" t="s">
        <v>188</v>
      </c>
      <c r="L17" t="s">
        <v>174</v>
      </c>
      <c r="M17" t="s">
        <v>81</v>
      </c>
      <c r="N17" t="s">
        <v>82</v>
      </c>
      <c r="O17" t="s">
        <v>82</v>
      </c>
      <c r="P17" t="s">
        <v>189</v>
      </c>
      <c r="Q17" t="s">
        <v>84</v>
      </c>
      <c r="V17">
        <v>0</v>
      </c>
      <c r="W17">
        <v>0</v>
      </c>
      <c r="X17">
        <v>0</v>
      </c>
      <c r="Y17">
        <v>14</v>
      </c>
      <c r="Z17">
        <v>19.821749499998901</v>
      </c>
      <c r="AH17">
        <v>19.814462600043001</v>
      </c>
      <c r="AI17">
        <v>19.821749499998901</v>
      </c>
      <c r="AJ17">
        <v>19.821749499998901</v>
      </c>
      <c r="AK17">
        <v>19.821749499998901</v>
      </c>
      <c r="AL17">
        <v>1.20600999798625E-2</v>
      </c>
      <c r="AM17">
        <v>29.8350488999858</v>
      </c>
      <c r="AN17">
        <v>35.952825999935101</v>
      </c>
      <c r="AO17" t="s">
        <v>187</v>
      </c>
      <c r="AP17" t="s">
        <v>188</v>
      </c>
      <c r="AQ17" t="s">
        <v>174</v>
      </c>
      <c r="AR17" t="s">
        <v>81</v>
      </c>
      <c r="AS17" t="s">
        <v>82</v>
      </c>
      <c r="AT17" t="s">
        <v>82</v>
      </c>
      <c r="AU17" t="s">
        <v>189</v>
      </c>
      <c r="AV17" t="s">
        <v>84</v>
      </c>
      <c r="AW17" t="s">
        <v>184</v>
      </c>
      <c r="AX17">
        <v>1</v>
      </c>
      <c r="AY17" t="s">
        <v>185</v>
      </c>
      <c r="AZ17" t="s">
        <v>59</v>
      </c>
      <c r="BB17" t="s">
        <v>60</v>
      </c>
      <c r="BC17">
        <v>59.715039815215597</v>
      </c>
      <c r="BD17" t="s">
        <v>186</v>
      </c>
    </row>
    <row r="18" spans="2:56" x14ac:dyDescent="0.3">
      <c r="B18">
        <v>1</v>
      </c>
      <c r="C18">
        <v>1</v>
      </c>
      <c r="D18">
        <v>0</v>
      </c>
      <c r="G18" t="s">
        <v>121</v>
      </c>
      <c r="H18" t="s">
        <v>122</v>
      </c>
      <c r="I18" t="s">
        <v>77</v>
      </c>
      <c r="J18" t="s">
        <v>71</v>
      </c>
      <c r="K18" t="s">
        <v>188</v>
      </c>
      <c r="L18" t="s">
        <v>174</v>
      </c>
      <c r="M18" t="s">
        <v>81</v>
      </c>
      <c r="N18" t="s">
        <v>82</v>
      </c>
      <c r="O18" t="s">
        <v>82</v>
      </c>
      <c r="P18" t="s">
        <v>190</v>
      </c>
      <c r="Q18" t="s">
        <v>84</v>
      </c>
      <c r="V18">
        <v>0</v>
      </c>
      <c r="W18">
        <v>1</v>
      </c>
      <c r="X18">
        <v>1</v>
      </c>
      <c r="Y18">
        <v>13</v>
      </c>
      <c r="Z18">
        <v>35.967984099988797</v>
      </c>
      <c r="AH18">
        <v>35.957765599945503</v>
      </c>
      <c r="AI18">
        <v>35.967984099988797</v>
      </c>
      <c r="AJ18">
        <v>35.967984099988797</v>
      </c>
      <c r="AK18">
        <v>35.967984099988797</v>
      </c>
      <c r="AL18">
        <v>4.7597999218851302E-3</v>
      </c>
      <c r="AN18">
        <v>39.403641200042301</v>
      </c>
      <c r="AO18" t="s">
        <v>71</v>
      </c>
      <c r="AP18" t="s">
        <v>188</v>
      </c>
      <c r="AQ18" t="s">
        <v>174</v>
      </c>
      <c r="AR18" t="s">
        <v>81</v>
      </c>
      <c r="AS18" t="s">
        <v>82</v>
      </c>
      <c r="AT18" t="s">
        <v>82</v>
      </c>
      <c r="AU18" t="s">
        <v>190</v>
      </c>
      <c r="AV18" t="s">
        <v>84</v>
      </c>
      <c r="AW18" t="s">
        <v>184</v>
      </c>
      <c r="AX18">
        <v>1</v>
      </c>
      <c r="AY18" t="s">
        <v>185</v>
      </c>
      <c r="AZ18" t="s">
        <v>59</v>
      </c>
      <c r="BB18" t="s">
        <v>60</v>
      </c>
      <c r="BC18">
        <v>59.715039815215597</v>
      </c>
      <c r="BD18" t="s">
        <v>186</v>
      </c>
    </row>
    <row r="19" spans="2:56" x14ac:dyDescent="0.3">
      <c r="B19">
        <v>2</v>
      </c>
      <c r="C19">
        <v>2</v>
      </c>
      <c r="D19">
        <v>0</v>
      </c>
      <c r="G19" t="s">
        <v>100</v>
      </c>
      <c r="H19" t="s">
        <v>69</v>
      </c>
      <c r="I19" t="s">
        <v>77</v>
      </c>
      <c r="J19" t="s">
        <v>69</v>
      </c>
      <c r="K19" t="s">
        <v>188</v>
      </c>
      <c r="L19" t="s">
        <v>174</v>
      </c>
      <c r="M19" t="s">
        <v>81</v>
      </c>
      <c r="N19" t="s">
        <v>82</v>
      </c>
      <c r="O19" t="s">
        <v>82</v>
      </c>
      <c r="P19" t="s">
        <v>191</v>
      </c>
      <c r="Q19" t="s">
        <v>84</v>
      </c>
      <c r="V19">
        <v>0</v>
      </c>
      <c r="W19">
        <v>2</v>
      </c>
      <c r="X19">
        <v>2</v>
      </c>
      <c r="Y19">
        <v>3</v>
      </c>
      <c r="Z19">
        <v>39.418356499983901</v>
      </c>
      <c r="AH19">
        <v>39.409000699990401</v>
      </c>
      <c r="AI19">
        <v>39.418356499983901</v>
      </c>
      <c r="AJ19">
        <v>39.418356499983901</v>
      </c>
      <c r="AK19">
        <v>39.418356499983901</v>
      </c>
      <c r="AL19">
        <v>5.2296000067144598E-3</v>
      </c>
      <c r="AN19">
        <v>43.718769400031299</v>
      </c>
      <c r="AO19" t="s">
        <v>69</v>
      </c>
      <c r="AP19" t="s">
        <v>188</v>
      </c>
      <c r="AQ19" t="s">
        <v>174</v>
      </c>
      <c r="AR19" t="s">
        <v>81</v>
      </c>
      <c r="AS19" t="s">
        <v>82</v>
      </c>
      <c r="AT19" t="s">
        <v>82</v>
      </c>
      <c r="AU19" t="s">
        <v>191</v>
      </c>
      <c r="AV19" t="s">
        <v>84</v>
      </c>
      <c r="AW19" t="s">
        <v>184</v>
      </c>
      <c r="AX19">
        <v>1</v>
      </c>
      <c r="AY19" t="s">
        <v>185</v>
      </c>
      <c r="AZ19" t="s">
        <v>59</v>
      </c>
      <c r="BB19" t="s">
        <v>60</v>
      </c>
      <c r="BC19">
        <v>59.715039815215597</v>
      </c>
      <c r="BD19" t="s">
        <v>186</v>
      </c>
    </row>
    <row r="20" spans="2:56" x14ac:dyDescent="0.3">
      <c r="B20">
        <v>3</v>
      </c>
      <c r="C20">
        <v>3</v>
      </c>
      <c r="D20">
        <v>0</v>
      </c>
      <c r="G20" t="s">
        <v>141</v>
      </c>
      <c r="H20" t="s">
        <v>67</v>
      </c>
      <c r="I20" t="s">
        <v>77</v>
      </c>
      <c r="J20" t="s">
        <v>142</v>
      </c>
      <c r="K20" t="s">
        <v>188</v>
      </c>
      <c r="L20" t="s">
        <v>174</v>
      </c>
      <c r="M20" t="s">
        <v>81</v>
      </c>
      <c r="N20" t="s">
        <v>82</v>
      </c>
      <c r="O20" t="s">
        <v>82</v>
      </c>
      <c r="P20" t="s">
        <v>192</v>
      </c>
      <c r="Q20" t="s">
        <v>84</v>
      </c>
      <c r="V20">
        <v>0</v>
      </c>
      <c r="W20">
        <v>3</v>
      </c>
      <c r="X20">
        <v>3</v>
      </c>
      <c r="Y20">
        <v>0</v>
      </c>
      <c r="Z20">
        <v>43.734961800044402</v>
      </c>
      <c r="AH20">
        <v>43.7231287000468</v>
      </c>
      <c r="AI20">
        <v>43.734961800044402</v>
      </c>
      <c r="AJ20">
        <v>43.734961800044402</v>
      </c>
      <c r="AK20">
        <v>43.734961800044402</v>
      </c>
      <c r="AL20">
        <v>4.2937999824061903E-3</v>
      </c>
      <c r="AN20">
        <v>47.835769099998203</v>
      </c>
      <c r="AO20" t="s">
        <v>142</v>
      </c>
      <c r="AP20" t="s">
        <v>188</v>
      </c>
      <c r="AQ20" t="s">
        <v>174</v>
      </c>
      <c r="AR20" t="s">
        <v>81</v>
      </c>
      <c r="AS20" t="s">
        <v>82</v>
      </c>
      <c r="AT20" t="s">
        <v>82</v>
      </c>
      <c r="AU20" t="s">
        <v>192</v>
      </c>
      <c r="AV20" t="s">
        <v>84</v>
      </c>
      <c r="AW20" t="s">
        <v>184</v>
      </c>
      <c r="AX20">
        <v>1</v>
      </c>
      <c r="AY20" t="s">
        <v>185</v>
      </c>
      <c r="AZ20" t="s">
        <v>59</v>
      </c>
      <c r="BB20" t="s">
        <v>60</v>
      </c>
      <c r="BC20">
        <v>59.715039815215597</v>
      </c>
      <c r="BD20" t="s">
        <v>186</v>
      </c>
    </row>
    <row r="21" spans="2:56" x14ac:dyDescent="0.3">
      <c r="B21">
        <v>4</v>
      </c>
      <c r="C21">
        <v>4</v>
      </c>
      <c r="D21">
        <v>0</v>
      </c>
      <c r="G21" t="s">
        <v>110</v>
      </c>
      <c r="H21" t="s">
        <v>111</v>
      </c>
      <c r="I21" t="s">
        <v>77</v>
      </c>
      <c r="J21" t="s">
        <v>193</v>
      </c>
      <c r="K21" t="s">
        <v>194</v>
      </c>
      <c r="L21" t="s">
        <v>195</v>
      </c>
      <c r="M21" t="s">
        <v>81</v>
      </c>
      <c r="N21" t="s">
        <v>82</v>
      </c>
      <c r="O21" t="s">
        <v>82</v>
      </c>
      <c r="P21" t="s">
        <v>196</v>
      </c>
      <c r="Q21" t="s">
        <v>84</v>
      </c>
      <c r="V21">
        <v>0</v>
      </c>
      <c r="W21">
        <v>4</v>
      </c>
      <c r="X21">
        <v>4</v>
      </c>
      <c r="Y21">
        <v>2</v>
      </c>
      <c r="Z21">
        <v>47.8515089999418</v>
      </c>
      <c r="AH21">
        <v>47.839205099968197</v>
      </c>
      <c r="AI21">
        <v>47.8515089999418</v>
      </c>
      <c r="AJ21">
        <v>47.8515089999418</v>
      </c>
      <c r="AK21">
        <v>47.8515089999418</v>
      </c>
      <c r="AL21">
        <v>3.3204000210389399E-3</v>
      </c>
      <c r="AM21">
        <v>57.851669499999801</v>
      </c>
      <c r="AN21">
        <v>63.086600300040999</v>
      </c>
      <c r="AO21" t="s">
        <v>193</v>
      </c>
      <c r="AP21" t="s">
        <v>194</v>
      </c>
      <c r="AQ21" t="s">
        <v>195</v>
      </c>
      <c r="AR21" t="s">
        <v>81</v>
      </c>
      <c r="AS21" t="s">
        <v>82</v>
      </c>
      <c r="AT21" t="s">
        <v>82</v>
      </c>
      <c r="AU21" t="s">
        <v>196</v>
      </c>
      <c r="AV21" t="s">
        <v>84</v>
      </c>
      <c r="AW21" t="s">
        <v>184</v>
      </c>
      <c r="AX21">
        <v>1</v>
      </c>
      <c r="AY21" t="s">
        <v>185</v>
      </c>
      <c r="AZ21" t="s">
        <v>59</v>
      </c>
      <c r="BB21" t="s">
        <v>60</v>
      </c>
      <c r="BC21">
        <v>59.715039815215597</v>
      </c>
      <c r="BD21" t="s">
        <v>186</v>
      </c>
    </row>
    <row r="22" spans="2:56" x14ac:dyDescent="0.3">
      <c r="B22">
        <v>5</v>
      </c>
      <c r="C22">
        <v>5</v>
      </c>
      <c r="D22">
        <v>0</v>
      </c>
      <c r="G22" t="s">
        <v>114</v>
      </c>
      <c r="H22" t="s">
        <v>75</v>
      </c>
      <c r="I22" t="s">
        <v>77</v>
      </c>
      <c r="J22" t="s">
        <v>115</v>
      </c>
      <c r="K22" t="s">
        <v>194</v>
      </c>
      <c r="L22" t="s">
        <v>195</v>
      </c>
      <c r="M22" t="s">
        <v>81</v>
      </c>
      <c r="N22" t="s">
        <v>82</v>
      </c>
      <c r="O22" t="s">
        <v>82</v>
      </c>
      <c r="P22" t="s">
        <v>197</v>
      </c>
      <c r="Q22" t="s">
        <v>84</v>
      </c>
      <c r="V22">
        <v>0</v>
      </c>
      <c r="W22">
        <v>5</v>
      </c>
      <c r="X22">
        <v>5</v>
      </c>
      <c r="Y22">
        <v>7</v>
      </c>
      <c r="Z22">
        <v>63.101613600039798</v>
      </c>
      <c r="AH22">
        <v>63.091306500020401</v>
      </c>
      <c r="AI22">
        <v>63.101613600039798</v>
      </c>
      <c r="AJ22">
        <v>63.101613600039798</v>
      </c>
      <c r="AK22">
        <v>63.101613600039798</v>
      </c>
      <c r="AL22">
        <v>4.4382999185472701E-3</v>
      </c>
      <c r="AN22">
        <v>69.236447699950006</v>
      </c>
      <c r="AO22" t="s">
        <v>115</v>
      </c>
      <c r="AP22" t="s">
        <v>194</v>
      </c>
      <c r="AQ22" t="s">
        <v>195</v>
      </c>
      <c r="AR22" t="s">
        <v>81</v>
      </c>
      <c r="AS22" t="s">
        <v>82</v>
      </c>
      <c r="AT22" t="s">
        <v>82</v>
      </c>
      <c r="AU22" t="s">
        <v>197</v>
      </c>
      <c r="AV22" t="s">
        <v>84</v>
      </c>
      <c r="AW22" t="s">
        <v>184</v>
      </c>
      <c r="AX22">
        <v>1</v>
      </c>
      <c r="AY22" t="s">
        <v>185</v>
      </c>
      <c r="AZ22" t="s">
        <v>59</v>
      </c>
      <c r="BB22" t="s">
        <v>60</v>
      </c>
      <c r="BC22">
        <v>59.715039815215597</v>
      </c>
      <c r="BD22" t="s">
        <v>186</v>
      </c>
    </row>
    <row r="23" spans="2:56" x14ac:dyDescent="0.3">
      <c r="B23">
        <v>6</v>
      </c>
      <c r="C23">
        <v>6</v>
      </c>
      <c r="D23">
        <v>0</v>
      </c>
      <c r="G23" t="s">
        <v>148</v>
      </c>
      <c r="H23" t="s">
        <v>149</v>
      </c>
      <c r="I23" s="3" t="s">
        <v>104</v>
      </c>
      <c r="J23" t="s">
        <v>178</v>
      </c>
      <c r="K23" t="s">
        <v>194</v>
      </c>
      <c r="L23" t="s">
        <v>195</v>
      </c>
      <c r="M23" t="s">
        <v>81</v>
      </c>
      <c r="N23" t="s">
        <v>82</v>
      </c>
      <c r="O23" t="s">
        <v>82</v>
      </c>
      <c r="P23" t="s">
        <v>198</v>
      </c>
      <c r="Q23" t="s">
        <v>84</v>
      </c>
      <c r="V23">
        <v>0</v>
      </c>
      <c r="W23">
        <v>6</v>
      </c>
      <c r="X23">
        <v>6</v>
      </c>
      <c r="Y23">
        <v>16</v>
      </c>
      <c r="Z23">
        <v>69.251588199986102</v>
      </c>
      <c r="AH23">
        <v>69.241884400020297</v>
      </c>
      <c r="AI23">
        <v>69.251588199986102</v>
      </c>
      <c r="AJ23">
        <v>69.251588199986102</v>
      </c>
      <c r="AK23">
        <v>69.251588199986102</v>
      </c>
      <c r="AL23">
        <v>5.2339999238029096E-3</v>
      </c>
      <c r="AN23">
        <v>73.469684200012097</v>
      </c>
      <c r="AO23" t="s">
        <v>178</v>
      </c>
      <c r="AP23" t="s">
        <v>194</v>
      </c>
      <c r="AQ23" t="s">
        <v>195</v>
      </c>
      <c r="AR23" t="s">
        <v>81</v>
      </c>
      <c r="AS23" t="s">
        <v>82</v>
      </c>
      <c r="AT23" t="s">
        <v>82</v>
      </c>
      <c r="AU23" t="s">
        <v>198</v>
      </c>
      <c r="AV23" t="s">
        <v>84</v>
      </c>
      <c r="AW23" t="s">
        <v>184</v>
      </c>
      <c r="AX23">
        <v>1</v>
      </c>
      <c r="AY23" t="s">
        <v>185</v>
      </c>
      <c r="AZ23" t="s">
        <v>59</v>
      </c>
      <c r="BB23" t="s">
        <v>60</v>
      </c>
      <c r="BC23">
        <v>59.715039815215597</v>
      </c>
      <c r="BD23" t="s">
        <v>186</v>
      </c>
    </row>
    <row r="24" spans="2:56" x14ac:dyDescent="0.3">
      <c r="B24">
        <v>7</v>
      </c>
      <c r="C24">
        <v>7</v>
      </c>
      <c r="D24">
        <v>0</v>
      </c>
      <c r="G24" t="s">
        <v>134</v>
      </c>
      <c r="H24" t="s">
        <v>135</v>
      </c>
      <c r="I24" s="3" t="s">
        <v>104</v>
      </c>
      <c r="J24" t="s">
        <v>136</v>
      </c>
      <c r="K24" t="s">
        <v>194</v>
      </c>
      <c r="L24" t="s">
        <v>195</v>
      </c>
      <c r="M24" t="s">
        <v>81</v>
      </c>
      <c r="N24" t="s">
        <v>82</v>
      </c>
      <c r="O24" t="s">
        <v>82</v>
      </c>
      <c r="P24" t="s">
        <v>199</v>
      </c>
      <c r="Q24" t="s">
        <v>84</v>
      </c>
      <c r="V24">
        <v>0</v>
      </c>
      <c r="W24">
        <v>7</v>
      </c>
      <c r="X24">
        <v>7</v>
      </c>
      <c r="Y24">
        <v>17</v>
      </c>
      <c r="Z24">
        <v>73.486128999968003</v>
      </c>
      <c r="AH24">
        <v>73.477687299950006</v>
      </c>
      <c r="AI24">
        <v>73.486128999968003</v>
      </c>
      <c r="AJ24">
        <v>73.486128999968003</v>
      </c>
      <c r="AK24">
        <v>73.486128999968003</v>
      </c>
      <c r="AL24">
        <v>7.6638000318780498E-3</v>
      </c>
      <c r="AN24">
        <v>76.936214899993502</v>
      </c>
      <c r="AO24" t="s">
        <v>136</v>
      </c>
      <c r="AP24" t="s">
        <v>194</v>
      </c>
      <c r="AQ24" t="s">
        <v>195</v>
      </c>
      <c r="AR24" t="s">
        <v>81</v>
      </c>
      <c r="AS24" t="s">
        <v>82</v>
      </c>
      <c r="AT24" t="s">
        <v>82</v>
      </c>
      <c r="AU24" t="s">
        <v>199</v>
      </c>
      <c r="AV24" t="s">
        <v>84</v>
      </c>
      <c r="AW24" t="s">
        <v>184</v>
      </c>
      <c r="AX24">
        <v>1</v>
      </c>
      <c r="AY24" t="s">
        <v>185</v>
      </c>
      <c r="AZ24" t="s">
        <v>59</v>
      </c>
      <c r="BB24" t="s">
        <v>60</v>
      </c>
      <c r="BC24">
        <v>59.715039815215597</v>
      </c>
      <c r="BD24" t="s">
        <v>186</v>
      </c>
    </row>
    <row r="25" spans="2:56" x14ac:dyDescent="0.3">
      <c r="B25">
        <v>8</v>
      </c>
      <c r="C25">
        <v>8</v>
      </c>
      <c r="D25">
        <v>0</v>
      </c>
      <c r="G25" t="s">
        <v>144</v>
      </c>
      <c r="H25" t="s">
        <v>145</v>
      </c>
      <c r="I25" s="3" t="s">
        <v>104</v>
      </c>
      <c r="J25" t="s">
        <v>146</v>
      </c>
      <c r="K25" t="s">
        <v>194</v>
      </c>
      <c r="L25" t="s">
        <v>195</v>
      </c>
      <c r="M25" t="s">
        <v>81</v>
      </c>
      <c r="N25" t="s">
        <v>82</v>
      </c>
      <c r="O25" t="s">
        <v>82</v>
      </c>
      <c r="P25" t="s">
        <v>200</v>
      </c>
      <c r="Q25" t="s">
        <v>84</v>
      </c>
      <c r="V25">
        <v>0</v>
      </c>
      <c r="W25">
        <v>8</v>
      </c>
      <c r="X25">
        <v>8</v>
      </c>
      <c r="Y25">
        <v>15</v>
      </c>
      <c r="Z25">
        <v>76.951749500003601</v>
      </c>
      <c r="AH25">
        <v>76.939746299991299</v>
      </c>
      <c r="AI25">
        <v>76.951749500003601</v>
      </c>
      <c r="AJ25">
        <v>76.951749500003601</v>
      </c>
      <c r="AK25">
        <v>76.951749500003601</v>
      </c>
      <c r="AL25">
        <v>3.4009000519290501E-3</v>
      </c>
      <c r="AN25">
        <v>81.085823399946094</v>
      </c>
      <c r="AO25" t="s">
        <v>146</v>
      </c>
      <c r="AP25" t="s">
        <v>194</v>
      </c>
      <c r="AQ25" t="s">
        <v>195</v>
      </c>
      <c r="AR25" t="s">
        <v>81</v>
      </c>
      <c r="AS25" t="s">
        <v>82</v>
      </c>
      <c r="AT25" t="s">
        <v>82</v>
      </c>
      <c r="AU25" t="s">
        <v>200</v>
      </c>
      <c r="AV25" t="s">
        <v>84</v>
      </c>
      <c r="AW25" t="s">
        <v>184</v>
      </c>
      <c r="AX25">
        <v>1</v>
      </c>
      <c r="AY25" t="s">
        <v>185</v>
      </c>
      <c r="AZ25" t="s">
        <v>59</v>
      </c>
      <c r="BB25" t="s">
        <v>60</v>
      </c>
      <c r="BC25">
        <v>59.715039815215597</v>
      </c>
      <c r="BD25" t="s">
        <v>186</v>
      </c>
    </row>
    <row r="26" spans="2:56" x14ac:dyDescent="0.3">
      <c r="B26">
        <v>9</v>
      </c>
      <c r="C26">
        <v>9</v>
      </c>
      <c r="D26">
        <v>0</v>
      </c>
      <c r="G26" t="s">
        <v>76</v>
      </c>
      <c r="H26" t="s">
        <v>68</v>
      </c>
      <c r="I26" t="s">
        <v>77</v>
      </c>
      <c r="J26" t="s">
        <v>158</v>
      </c>
      <c r="K26" t="s">
        <v>194</v>
      </c>
      <c r="L26" t="s">
        <v>195</v>
      </c>
      <c r="M26" t="s">
        <v>81</v>
      </c>
      <c r="N26" t="s">
        <v>82</v>
      </c>
      <c r="O26" t="s">
        <v>82</v>
      </c>
      <c r="P26" t="s">
        <v>201</v>
      </c>
      <c r="Q26" t="s">
        <v>84</v>
      </c>
      <c r="V26">
        <v>0</v>
      </c>
      <c r="W26">
        <v>9</v>
      </c>
      <c r="X26">
        <v>9</v>
      </c>
      <c r="Y26">
        <v>9</v>
      </c>
      <c r="Z26">
        <v>81.101870700018395</v>
      </c>
      <c r="AH26">
        <v>81.091071199974905</v>
      </c>
      <c r="AI26">
        <v>81.101870700018395</v>
      </c>
      <c r="AJ26">
        <v>81.101870700018395</v>
      </c>
      <c r="AK26">
        <v>81.101870700018395</v>
      </c>
      <c r="AL26">
        <v>5.0581999821588397E-3</v>
      </c>
      <c r="AN26">
        <v>86.186827300000004</v>
      </c>
      <c r="AO26" t="s">
        <v>158</v>
      </c>
      <c r="AP26" t="s">
        <v>194</v>
      </c>
      <c r="AQ26" t="s">
        <v>195</v>
      </c>
      <c r="AR26" t="s">
        <v>81</v>
      </c>
      <c r="AS26" t="s">
        <v>82</v>
      </c>
      <c r="AT26" t="s">
        <v>82</v>
      </c>
      <c r="AU26" t="s">
        <v>201</v>
      </c>
      <c r="AV26" t="s">
        <v>84</v>
      </c>
      <c r="AW26" t="s">
        <v>184</v>
      </c>
      <c r="AX26">
        <v>1</v>
      </c>
      <c r="AY26" t="s">
        <v>185</v>
      </c>
      <c r="AZ26" t="s">
        <v>59</v>
      </c>
      <c r="BB26" t="s">
        <v>60</v>
      </c>
      <c r="BC26">
        <v>59.715039815215597</v>
      </c>
      <c r="BD26" t="s">
        <v>186</v>
      </c>
    </row>
    <row r="27" spans="2:56" x14ac:dyDescent="0.3">
      <c r="B27">
        <v>10</v>
      </c>
      <c r="C27">
        <v>10</v>
      </c>
      <c r="D27">
        <v>0</v>
      </c>
      <c r="G27" t="s">
        <v>93</v>
      </c>
      <c r="H27" t="s">
        <v>94</v>
      </c>
      <c r="I27" t="s">
        <v>77</v>
      </c>
      <c r="J27" t="s">
        <v>56</v>
      </c>
      <c r="K27" t="s">
        <v>194</v>
      </c>
      <c r="L27" t="s">
        <v>195</v>
      </c>
      <c r="M27" t="s">
        <v>81</v>
      </c>
      <c r="N27" t="s">
        <v>82</v>
      </c>
      <c r="O27" t="s">
        <v>82</v>
      </c>
      <c r="P27" t="s">
        <v>202</v>
      </c>
      <c r="Q27" t="s">
        <v>84</v>
      </c>
      <c r="V27">
        <v>0</v>
      </c>
      <c r="W27">
        <v>10</v>
      </c>
      <c r="X27">
        <v>10</v>
      </c>
      <c r="Y27">
        <v>11</v>
      </c>
      <c r="Z27">
        <v>86.201628200011299</v>
      </c>
      <c r="AH27">
        <v>86.191794199985395</v>
      </c>
      <c r="AI27">
        <v>86.201628200011299</v>
      </c>
      <c r="AJ27">
        <v>86.201628200011299</v>
      </c>
      <c r="AK27">
        <v>86.201628200011299</v>
      </c>
      <c r="AL27">
        <v>4.8077000537887198E-3</v>
      </c>
      <c r="AN27">
        <v>90.8364876999985</v>
      </c>
      <c r="AO27" t="s">
        <v>56</v>
      </c>
      <c r="AP27" t="s">
        <v>194</v>
      </c>
      <c r="AQ27" t="s">
        <v>195</v>
      </c>
      <c r="AR27" t="s">
        <v>81</v>
      </c>
      <c r="AS27" t="s">
        <v>82</v>
      </c>
      <c r="AT27" t="s">
        <v>82</v>
      </c>
      <c r="AU27" t="s">
        <v>202</v>
      </c>
      <c r="AV27" t="s">
        <v>84</v>
      </c>
      <c r="AW27" t="s">
        <v>184</v>
      </c>
      <c r="AX27">
        <v>1</v>
      </c>
      <c r="AY27" t="s">
        <v>185</v>
      </c>
      <c r="AZ27" t="s">
        <v>59</v>
      </c>
      <c r="BB27" t="s">
        <v>60</v>
      </c>
      <c r="BC27">
        <v>59.715039815215597</v>
      </c>
      <c r="BD27" t="s">
        <v>186</v>
      </c>
    </row>
    <row r="28" spans="2:56" x14ac:dyDescent="0.3">
      <c r="B28">
        <v>11</v>
      </c>
      <c r="C28">
        <v>11</v>
      </c>
      <c r="D28">
        <v>0</v>
      </c>
      <c r="G28" t="s">
        <v>124</v>
      </c>
      <c r="H28" t="s">
        <v>72</v>
      </c>
      <c r="I28" t="s">
        <v>77</v>
      </c>
      <c r="J28" t="s">
        <v>125</v>
      </c>
      <c r="K28" t="s">
        <v>194</v>
      </c>
      <c r="L28" t="s">
        <v>195</v>
      </c>
      <c r="M28" t="s">
        <v>81</v>
      </c>
      <c r="N28" t="s">
        <v>82</v>
      </c>
      <c r="O28" t="s">
        <v>82</v>
      </c>
      <c r="P28" t="s">
        <v>203</v>
      </c>
      <c r="Q28" t="s">
        <v>84</v>
      </c>
      <c r="V28">
        <v>0</v>
      </c>
      <c r="W28">
        <v>11</v>
      </c>
      <c r="X28">
        <v>11</v>
      </c>
      <c r="Y28">
        <v>8</v>
      </c>
      <c r="Z28">
        <v>90.8516355999745</v>
      </c>
      <c r="AH28">
        <v>90.839500400004894</v>
      </c>
      <c r="AI28">
        <v>90.8516355999745</v>
      </c>
      <c r="AJ28">
        <v>90.8516355999745</v>
      </c>
      <c r="AK28">
        <v>90.8516355999745</v>
      </c>
      <c r="AL28">
        <v>2.9001999646425199E-3</v>
      </c>
      <c r="AN28">
        <v>95.337461599963703</v>
      </c>
      <c r="AO28" t="s">
        <v>125</v>
      </c>
      <c r="AP28" t="s">
        <v>194</v>
      </c>
      <c r="AQ28" t="s">
        <v>195</v>
      </c>
      <c r="AR28" t="s">
        <v>81</v>
      </c>
      <c r="AS28" t="s">
        <v>82</v>
      </c>
      <c r="AT28" t="s">
        <v>82</v>
      </c>
      <c r="AU28" t="s">
        <v>203</v>
      </c>
      <c r="AV28" t="s">
        <v>84</v>
      </c>
      <c r="AW28" t="s">
        <v>184</v>
      </c>
      <c r="AX28">
        <v>1</v>
      </c>
      <c r="AY28" t="s">
        <v>185</v>
      </c>
      <c r="AZ28" t="s">
        <v>59</v>
      </c>
      <c r="BB28" t="s">
        <v>60</v>
      </c>
      <c r="BC28">
        <v>59.715039815215597</v>
      </c>
      <c r="BD28" t="s">
        <v>186</v>
      </c>
    </row>
    <row r="29" spans="2:56" x14ac:dyDescent="0.3">
      <c r="B29">
        <v>12</v>
      </c>
      <c r="C29">
        <v>12</v>
      </c>
      <c r="D29">
        <v>0</v>
      </c>
      <c r="G29" t="s">
        <v>127</v>
      </c>
      <c r="H29" t="s">
        <v>66</v>
      </c>
      <c r="I29" t="s">
        <v>77</v>
      </c>
      <c r="J29" s="1" t="s">
        <v>204</v>
      </c>
      <c r="K29" t="s">
        <v>194</v>
      </c>
      <c r="L29" t="s">
        <v>195</v>
      </c>
      <c r="M29" t="s">
        <v>81</v>
      </c>
      <c r="N29" t="s">
        <v>82</v>
      </c>
      <c r="O29" t="s">
        <v>82</v>
      </c>
      <c r="P29" t="s">
        <v>205</v>
      </c>
      <c r="Q29" t="s">
        <v>84</v>
      </c>
      <c r="V29">
        <v>0</v>
      </c>
      <c r="W29">
        <v>12</v>
      </c>
      <c r="X29">
        <v>12</v>
      </c>
      <c r="Y29">
        <v>4</v>
      </c>
      <c r="Z29">
        <v>95.3541400999529</v>
      </c>
      <c r="AH29">
        <v>95.343176399939694</v>
      </c>
      <c r="AI29">
        <v>95.3541400999529</v>
      </c>
      <c r="AJ29">
        <v>95.3541400999529</v>
      </c>
      <c r="AK29">
        <v>95.3541400999529</v>
      </c>
      <c r="AL29">
        <v>5.5417999392375298E-3</v>
      </c>
      <c r="AM29">
        <v>105.36823180003501</v>
      </c>
      <c r="AN29">
        <v>112.98576650000101</v>
      </c>
      <c r="AO29" t="s">
        <v>204</v>
      </c>
      <c r="AP29" t="s">
        <v>194</v>
      </c>
      <c r="AQ29" t="s">
        <v>195</v>
      </c>
      <c r="AR29" t="s">
        <v>81</v>
      </c>
      <c r="AS29" t="s">
        <v>82</v>
      </c>
      <c r="AT29" t="s">
        <v>82</v>
      </c>
      <c r="AU29" t="s">
        <v>205</v>
      </c>
      <c r="AV29" t="s">
        <v>84</v>
      </c>
      <c r="AW29" t="s">
        <v>184</v>
      </c>
      <c r="AX29">
        <v>1</v>
      </c>
      <c r="AY29" t="s">
        <v>185</v>
      </c>
      <c r="AZ29" t="s">
        <v>59</v>
      </c>
      <c r="BB29" t="s">
        <v>60</v>
      </c>
      <c r="BC29">
        <v>59.715039815215597</v>
      </c>
      <c r="BD29" t="s">
        <v>186</v>
      </c>
    </row>
    <row r="30" spans="2:56" x14ac:dyDescent="0.3">
      <c r="B30">
        <v>13</v>
      </c>
      <c r="C30">
        <v>13</v>
      </c>
      <c r="D30">
        <v>0</v>
      </c>
      <c r="G30" t="s">
        <v>130</v>
      </c>
      <c r="H30" t="s">
        <v>131</v>
      </c>
      <c r="I30" s="3" t="s">
        <v>104</v>
      </c>
      <c r="J30" t="s">
        <v>132</v>
      </c>
      <c r="K30" t="s">
        <v>194</v>
      </c>
      <c r="L30" t="s">
        <v>195</v>
      </c>
      <c r="M30" t="s">
        <v>81</v>
      </c>
      <c r="N30" t="s">
        <v>82</v>
      </c>
      <c r="O30" t="s">
        <v>82</v>
      </c>
      <c r="P30" t="s">
        <v>206</v>
      </c>
      <c r="Q30" t="s">
        <v>84</v>
      </c>
      <c r="V30">
        <v>0</v>
      </c>
      <c r="W30">
        <v>13</v>
      </c>
      <c r="X30">
        <v>13</v>
      </c>
      <c r="Y30">
        <v>18</v>
      </c>
      <c r="Z30">
        <v>113.001393000013</v>
      </c>
      <c r="AH30">
        <v>112.988517399993</v>
      </c>
      <c r="AI30">
        <v>113.001393000013</v>
      </c>
      <c r="AJ30">
        <v>113.001393000013</v>
      </c>
      <c r="AK30">
        <v>113.001393000013</v>
      </c>
      <c r="AL30">
        <v>2.6672999374568402E-3</v>
      </c>
      <c r="AN30">
        <v>118.202921899966</v>
      </c>
      <c r="AO30" t="s">
        <v>132</v>
      </c>
      <c r="AP30" t="s">
        <v>194</v>
      </c>
      <c r="AQ30" t="s">
        <v>195</v>
      </c>
      <c r="AR30" t="s">
        <v>81</v>
      </c>
      <c r="AS30" t="s">
        <v>82</v>
      </c>
      <c r="AT30" t="s">
        <v>82</v>
      </c>
      <c r="AU30" t="s">
        <v>206</v>
      </c>
      <c r="AV30" t="s">
        <v>84</v>
      </c>
      <c r="AW30" t="s">
        <v>184</v>
      </c>
      <c r="AX30">
        <v>1</v>
      </c>
      <c r="AY30" t="s">
        <v>185</v>
      </c>
      <c r="AZ30" t="s">
        <v>59</v>
      </c>
      <c r="BB30" t="s">
        <v>60</v>
      </c>
      <c r="BC30">
        <v>59.715039815215597</v>
      </c>
      <c r="BD30" t="s">
        <v>186</v>
      </c>
    </row>
    <row r="31" spans="2:56" x14ac:dyDescent="0.3">
      <c r="B31">
        <v>14</v>
      </c>
      <c r="C31">
        <v>14</v>
      </c>
      <c r="D31">
        <v>0</v>
      </c>
      <c r="G31" t="s">
        <v>90</v>
      </c>
      <c r="H31" t="s">
        <v>64</v>
      </c>
      <c r="I31" t="s">
        <v>77</v>
      </c>
      <c r="J31" s="1" t="s">
        <v>119</v>
      </c>
      <c r="K31" t="s">
        <v>194</v>
      </c>
      <c r="L31" t="s">
        <v>195</v>
      </c>
      <c r="M31" t="s">
        <v>81</v>
      </c>
      <c r="N31" t="s">
        <v>82</v>
      </c>
      <c r="O31" t="s">
        <v>82</v>
      </c>
      <c r="P31" t="s">
        <v>207</v>
      </c>
      <c r="Q31" t="s">
        <v>84</v>
      </c>
      <c r="V31">
        <v>0</v>
      </c>
      <c r="W31">
        <v>14</v>
      </c>
      <c r="X31">
        <v>14</v>
      </c>
      <c r="Y31">
        <v>6</v>
      </c>
      <c r="Z31">
        <v>118.21815830003401</v>
      </c>
      <c r="AH31">
        <v>118.206481899949</v>
      </c>
      <c r="AI31">
        <v>118.21815830003401</v>
      </c>
      <c r="AJ31">
        <v>118.21815830003401</v>
      </c>
      <c r="AK31">
        <v>118.21815830003401</v>
      </c>
      <c r="AL31">
        <v>3.4265000140294398E-3</v>
      </c>
      <c r="AM31">
        <v>128.21823160001</v>
      </c>
      <c r="AN31">
        <v>135.186352899996</v>
      </c>
      <c r="AO31" t="s">
        <v>119</v>
      </c>
      <c r="AP31" t="s">
        <v>194</v>
      </c>
      <c r="AQ31" t="s">
        <v>195</v>
      </c>
      <c r="AR31" t="s">
        <v>81</v>
      </c>
      <c r="AS31" t="s">
        <v>82</v>
      </c>
      <c r="AT31" t="s">
        <v>82</v>
      </c>
      <c r="AU31" t="s">
        <v>207</v>
      </c>
      <c r="AV31" t="s">
        <v>84</v>
      </c>
      <c r="AW31" t="s">
        <v>184</v>
      </c>
      <c r="AX31">
        <v>1</v>
      </c>
      <c r="AY31" t="s">
        <v>185</v>
      </c>
      <c r="AZ31" t="s">
        <v>59</v>
      </c>
      <c r="BB31" t="s">
        <v>60</v>
      </c>
      <c r="BC31">
        <v>59.715039815215597</v>
      </c>
      <c r="BD31" t="s">
        <v>186</v>
      </c>
    </row>
    <row r="32" spans="2:56" x14ac:dyDescent="0.3">
      <c r="B32">
        <v>15</v>
      </c>
      <c r="C32">
        <v>15</v>
      </c>
      <c r="D32">
        <v>0</v>
      </c>
      <c r="G32" t="s">
        <v>85</v>
      </c>
      <c r="H32" t="s">
        <v>86</v>
      </c>
      <c r="I32" t="s">
        <v>77</v>
      </c>
      <c r="J32" t="s">
        <v>62</v>
      </c>
      <c r="K32" t="s">
        <v>194</v>
      </c>
      <c r="L32" t="s">
        <v>195</v>
      </c>
      <c r="M32" t="s">
        <v>81</v>
      </c>
      <c r="N32" t="s">
        <v>82</v>
      </c>
      <c r="O32" t="s">
        <v>82</v>
      </c>
      <c r="P32" t="s">
        <v>208</v>
      </c>
      <c r="Q32" t="s">
        <v>84</v>
      </c>
      <c r="V32">
        <v>0</v>
      </c>
      <c r="W32">
        <v>15</v>
      </c>
      <c r="X32">
        <v>15</v>
      </c>
      <c r="Y32">
        <v>10</v>
      </c>
      <c r="Z32">
        <v>135.201578199979</v>
      </c>
      <c r="AH32">
        <v>135.18933079997001</v>
      </c>
      <c r="AI32">
        <v>135.201578199979</v>
      </c>
      <c r="AJ32">
        <v>135.201578199979</v>
      </c>
      <c r="AK32">
        <v>135.201578199979</v>
      </c>
      <c r="AL32">
        <v>2.8403999749570998E-3</v>
      </c>
      <c r="AN32">
        <v>140.48618749994699</v>
      </c>
      <c r="AO32" t="s">
        <v>62</v>
      </c>
      <c r="AP32" t="s">
        <v>194</v>
      </c>
      <c r="AQ32" t="s">
        <v>195</v>
      </c>
      <c r="AR32" t="s">
        <v>81</v>
      </c>
      <c r="AS32" t="s">
        <v>82</v>
      </c>
      <c r="AT32" t="s">
        <v>82</v>
      </c>
      <c r="AU32" t="s">
        <v>208</v>
      </c>
      <c r="AV32" t="s">
        <v>84</v>
      </c>
      <c r="AW32" t="s">
        <v>184</v>
      </c>
      <c r="AX32">
        <v>1</v>
      </c>
      <c r="AY32" t="s">
        <v>185</v>
      </c>
      <c r="AZ32" t="s">
        <v>59</v>
      </c>
      <c r="BB32" t="s">
        <v>60</v>
      </c>
      <c r="BC32">
        <v>59.715039815215597</v>
      </c>
      <c r="BD32" t="s">
        <v>186</v>
      </c>
    </row>
    <row r="33" spans="2:56" x14ac:dyDescent="0.3">
      <c r="B33">
        <v>16</v>
      </c>
      <c r="C33">
        <v>16</v>
      </c>
      <c r="D33">
        <v>0</v>
      </c>
      <c r="G33" t="s">
        <v>102</v>
      </c>
      <c r="H33" t="s">
        <v>103</v>
      </c>
      <c r="I33" s="3" t="s">
        <v>104</v>
      </c>
      <c r="J33" t="s">
        <v>105</v>
      </c>
      <c r="K33" t="s">
        <v>194</v>
      </c>
      <c r="L33" t="s">
        <v>195</v>
      </c>
      <c r="M33" t="s">
        <v>81</v>
      </c>
      <c r="N33" t="s">
        <v>82</v>
      </c>
      <c r="O33" t="s">
        <v>82</v>
      </c>
      <c r="P33" t="s">
        <v>209</v>
      </c>
      <c r="Q33" t="s">
        <v>84</v>
      </c>
      <c r="V33">
        <v>0</v>
      </c>
      <c r="W33">
        <v>16</v>
      </c>
      <c r="X33">
        <v>16</v>
      </c>
      <c r="Y33">
        <v>19</v>
      </c>
      <c r="Z33">
        <v>140.502987200045</v>
      </c>
      <c r="AH33">
        <v>140.491840900038</v>
      </c>
      <c r="AI33">
        <v>140.502987200045</v>
      </c>
      <c r="AJ33">
        <v>140.502987200045</v>
      </c>
      <c r="AK33">
        <v>140.502987200045</v>
      </c>
      <c r="AL33">
        <v>5.6139000225812197E-3</v>
      </c>
      <c r="AN33">
        <v>144.76966759993201</v>
      </c>
      <c r="AO33" t="s">
        <v>105</v>
      </c>
      <c r="AP33" t="s">
        <v>194</v>
      </c>
      <c r="AQ33" t="s">
        <v>195</v>
      </c>
      <c r="AR33" t="s">
        <v>81</v>
      </c>
      <c r="AS33" t="s">
        <v>82</v>
      </c>
      <c r="AT33" t="s">
        <v>82</v>
      </c>
      <c r="AU33" t="s">
        <v>209</v>
      </c>
      <c r="AV33" t="s">
        <v>84</v>
      </c>
      <c r="AW33" t="s">
        <v>184</v>
      </c>
      <c r="AX33">
        <v>1</v>
      </c>
      <c r="AY33" t="s">
        <v>185</v>
      </c>
      <c r="AZ33" t="s">
        <v>59</v>
      </c>
      <c r="BB33" t="s">
        <v>60</v>
      </c>
      <c r="BC33">
        <v>59.715039815215597</v>
      </c>
      <c r="BD33" t="s">
        <v>186</v>
      </c>
    </row>
    <row r="34" spans="2:56" x14ac:dyDescent="0.3">
      <c r="B34">
        <v>17</v>
      </c>
      <c r="C34">
        <v>17</v>
      </c>
      <c r="D34">
        <v>0</v>
      </c>
      <c r="G34" t="s">
        <v>107</v>
      </c>
      <c r="H34" t="s">
        <v>65</v>
      </c>
      <c r="I34" t="s">
        <v>77</v>
      </c>
      <c r="J34" t="s">
        <v>108</v>
      </c>
      <c r="K34" t="s">
        <v>194</v>
      </c>
      <c r="L34" t="s">
        <v>195</v>
      </c>
      <c r="M34" t="s">
        <v>81</v>
      </c>
      <c r="N34" t="s">
        <v>82</v>
      </c>
      <c r="O34" t="s">
        <v>82</v>
      </c>
      <c r="P34" t="s">
        <v>210</v>
      </c>
      <c r="Q34" t="s">
        <v>84</v>
      </c>
      <c r="V34">
        <v>0</v>
      </c>
      <c r="W34">
        <v>17</v>
      </c>
      <c r="X34">
        <v>17</v>
      </c>
      <c r="Y34">
        <v>5</v>
      </c>
      <c r="Z34">
        <v>144.78477130003699</v>
      </c>
      <c r="AH34">
        <v>144.77221570000901</v>
      </c>
      <c r="AI34">
        <v>144.78477130003699</v>
      </c>
      <c r="AJ34">
        <v>144.78477130003699</v>
      </c>
      <c r="AK34">
        <v>144.78477130003699</v>
      </c>
      <c r="AL34">
        <v>2.4564999621361399E-3</v>
      </c>
      <c r="AN34">
        <v>147.953520999988</v>
      </c>
      <c r="AO34" t="s">
        <v>108</v>
      </c>
      <c r="AP34" t="s">
        <v>194</v>
      </c>
      <c r="AQ34" t="s">
        <v>195</v>
      </c>
      <c r="AR34" t="s">
        <v>81</v>
      </c>
      <c r="AS34" t="s">
        <v>82</v>
      </c>
      <c r="AT34" t="s">
        <v>82</v>
      </c>
      <c r="AU34" t="s">
        <v>210</v>
      </c>
      <c r="AV34" t="s">
        <v>84</v>
      </c>
      <c r="AW34" t="s">
        <v>184</v>
      </c>
      <c r="AX34">
        <v>1</v>
      </c>
      <c r="AY34" t="s">
        <v>185</v>
      </c>
      <c r="AZ34" t="s">
        <v>59</v>
      </c>
      <c r="BB34" t="s">
        <v>60</v>
      </c>
      <c r="BC34">
        <v>59.715039815215597</v>
      </c>
      <c r="BD34" t="s">
        <v>186</v>
      </c>
    </row>
    <row r="35" spans="2:56" x14ac:dyDescent="0.3">
      <c r="B35">
        <v>18</v>
      </c>
      <c r="C35">
        <v>18</v>
      </c>
      <c r="D35">
        <v>0</v>
      </c>
      <c r="G35" t="s">
        <v>138</v>
      </c>
      <c r="H35" t="s">
        <v>70</v>
      </c>
      <c r="I35" t="s">
        <v>77</v>
      </c>
      <c r="J35" t="s">
        <v>139</v>
      </c>
      <c r="K35" t="s">
        <v>194</v>
      </c>
      <c r="L35" t="s">
        <v>195</v>
      </c>
      <c r="M35" t="s">
        <v>81</v>
      </c>
      <c r="N35" t="s">
        <v>82</v>
      </c>
      <c r="O35" t="s">
        <v>82</v>
      </c>
      <c r="P35" t="s">
        <v>211</v>
      </c>
      <c r="Q35" t="s">
        <v>84</v>
      </c>
      <c r="V35">
        <v>0</v>
      </c>
      <c r="W35">
        <v>18</v>
      </c>
      <c r="X35">
        <v>18</v>
      </c>
      <c r="Y35">
        <v>1</v>
      </c>
      <c r="Z35">
        <v>147.968263600021</v>
      </c>
      <c r="AH35">
        <v>147.95873029995701</v>
      </c>
      <c r="AI35">
        <v>147.968263600021</v>
      </c>
      <c r="AJ35">
        <v>147.968263600021</v>
      </c>
      <c r="AK35">
        <v>147.968263600021</v>
      </c>
      <c r="AL35">
        <v>5.0522999372333201E-3</v>
      </c>
      <c r="AN35">
        <v>154.586387599934</v>
      </c>
      <c r="AO35" t="s">
        <v>139</v>
      </c>
      <c r="AP35" t="s">
        <v>194</v>
      </c>
      <c r="AQ35" t="s">
        <v>195</v>
      </c>
      <c r="AR35" t="s">
        <v>81</v>
      </c>
      <c r="AS35" t="s">
        <v>82</v>
      </c>
      <c r="AT35" t="s">
        <v>82</v>
      </c>
      <c r="AU35" t="s">
        <v>211</v>
      </c>
      <c r="AV35" t="s">
        <v>84</v>
      </c>
      <c r="AW35" t="s">
        <v>184</v>
      </c>
      <c r="AX35">
        <v>1</v>
      </c>
      <c r="AY35" t="s">
        <v>185</v>
      </c>
      <c r="AZ35" t="s">
        <v>59</v>
      </c>
      <c r="BB35" t="s">
        <v>60</v>
      </c>
      <c r="BC35">
        <v>59.715039815215597</v>
      </c>
      <c r="BD35" t="s">
        <v>186</v>
      </c>
    </row>
    <row r="36" spans="2:56" x14ac:dyDescent="0.3">
      <c r="B36">
        <v>19</v>
      </c>
      <c r="C36">
        <v>19</v>
      </c>
      <c r="D36">
        <v>0</v>
      </c>
      <c r="G36" t="s">
        <v>96</v>
      </c>
      <c r="H36" t="s">
        <v>97</v>
      </c>
      <c r="I36" t="s">
        <v>77</v>
      </c>
      <c r="J36" t="s">
        <v>74</v>
      </c>
      <c r="K36" t="s">
        <v>194</v>
      </c>
      <c r="L36" t="s">
        <v>195</v>
      </c>
      <c r="M36" t="s">
        <v>81</v>
      </c>
      <c r="N36" t="s">
        <v>82</v>
      </c>
      <c r="O36" t="s">
        <v>82</v>
      </c>
      <c r="P36" t="s">
        <v>212</v>
      </c>
      <c r="Q36" t="s">
        <v>84</v>
      </c>
      <c r="V36">
        <v>0</v>
      </c>
      <c r="W36">
        <v>19</v>
      </c>
      <c r="X36">
        <v>19</v>
      </c>
      <c r="Y36">
        <v>12</v>
      </c>
      <c r="Z36">
        <v>154.601430500042</v>
      </c>
      <c r="AH36">
        <v>154.59081439999801</v>
      </c>
      <c r="AI36">
        <v>154.601430500042</v>
      </c>
      <c r="AJ36">
        <v>154.601430500042</v>
      </c>
      <c r="AK36">
        <v>154.601430500042</v>
      </c>
      <c r="AL36">
        <v>4.2669000104069701E-3</v>
      </c>
      <c r="AN36">
        <v>162.30285169999101</v>
      </c>
      <c r="AO36" t="s">
        <v>74</v>
      </c>
      <c r="AP36" t="s">
        <v>194</v>
      </c>
      <c r="AQ36" t="s">
        <v>195</v>
      </c>
      <c r="AR36" t="s">
        <v>81</v>
      </c>
      <c r="AS36" t="s">
        <v>82</v>
      </c>
      <c r="AT36" t="s">
        <v>82</v>
      </c>
      <c r="AU36" t="s">
        <v>212</v>
      </c>
      <c r="AV36" t="s">
        <v>84</v>
      </c>
      <c r="AW36" t="s">
        <v>184</v>
      </c>
      <c r="AX36">
        <v>1</v>
      </c>
      <c r="AY36" t="s">
        <v>185</v>
      </c>
      <c r="AZ36" t="s">
        <v>59</v>
      </c>
      <c r="BB36" t="s">
        <v>60</v>
      </c>
      <c r="BC36">
        <v>59.715039815215597</v>
      </c>
      <c r="BD36" t="s">
        <v>186</v>
      </c>
    </row>
    <row r="39" spans="2:56" x14ac:dyDescent="0.3">
      <c r="G39" t="s">
        <v>240</v>
      </c>
      <c r="J39">
        <v>12</v>
      </c>
      <c r="K39">
        <f>J39/15</f>
        <v>0.8</v>
      </c>
    </row>
    <row r="40" spans="2:56" x14ac:dyDescent="0.3">
      <c r="G40" t="s">
        <v>241</v>
      </c>
      <c r="J40">
        <v>5</v>
      </c>
      <c r="K40">
        <f>J40/5</f>
        <v>1</v>
      </c>
    </row>
    <row r="42" spans="2:56" x14ac:dyDescent="0.3">
      <c r="G42" t="s">
        <v>242</v>
      </c>
      <c r="I42">
        <f>K39-K40</f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tabSelected="1" topLeftCell="A16" workbookViewId="0">
      <selection activeCell="J37" sqref="J37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67</v>
      </c>
      <c r="B2">
        <v>0</v>
      </c>
      <c r="C2">
        <v>0</v>
      </c>
      <c r="D2">
        <v>0</v>
      </c>
      <c r="E2">
        <v>2.511111111</v>
      </c>
      <c r="F2">
        <v>2.0890048000000001</v>
      </c>
      <c r="R2">
        <v>0</v>
      </c>
      <c r="S2">
        <v>0</v>
      </c>
      <c r="T2">
        <v>0</v>
      </c>
      <c r="U2">
        <v>5</v>
      </c>
      <c r="Z2">
        <v>2.8290300000000001E-2</v>
      </c>
      <c r="AB2">
        <v>1.50139E-2</v>
      </c>
      <c r="AC2">
        <v>2.8290300000000001E-2</v>
      </c>
      <c r="AD2">
        <v>2.8290300000000001E-2</v>
      </c>
      <c r="AE2">
        <v>2.1203647999999999</v>
      </c>
      <c r="AF2">
        <v>2.511111111</v>
      </c>
      <c r="AG2">
        <v>2.0890048000000001</v>
      </c>
      <c r="AW2" t="s">
        <v>213</v>
      </c>
      <c r="AX2">
        <v>1</v>
      </c>
      <c r="AY2" t="s">
        <v>214</v>
      </c>
      <c r="AZ2" t="s">
        <v>59</v>
      </c>
      <c r="BB2" t="s">
        <v>60</v>
      </c>
      <c r="BC2">
        <v>59.904237049999999</v>
      </c>
      <c r="BD2" t="s">
        <v>215</v>
      </c>
    </row>
    <row r="3" spans="1:56" x14ac:dyDescent="0.3">
      <c r="A3" t="s">
        <v>56</v>
      </c>
      <c r="B3">
        <v>1</v>
      </c>
      <c r="C3">
        <v>1</v>
      </c>
      <c r="D3">
        <v>0</v>
      </c>
      <c r="E3">
        <v>3.4777777780000001</v>
      </c>
      <c r="F3">
        <v>1.3264819999999999</v>
      </c>
      <c r="R3">
        <v>0</v>
      </c>
      <c r="S3">
        <v>1</v>
      </c>
      <c r="T3">
        <v>1</v>
      </c>
      <c r="U3">
        <v>3</v>
      </c>
      <c r="Z3">
        <v>2.1355428000000001</v>
      </c>
      <c r="AB3">
        <v>2.1271162000000001</v>
      </c>
      <c r="AC3">
        <v>2.1355428000000001</v>
      </c>
      <c r="AD3">
        <v>2.1355428000000001</v>
      </c>
      <c r="AE3">
        <v>3.4699051999999999</v>
      </c>
      <c r="AF3">
        <v>3.4777777780000001</v>
      </c>
      <c r="AG3">
        <v>1.3264819999999999</v>
      </c>
      <c r="AW3" t="s">
        <v>213</v>
      </c>
      <c r="AX3">
        <v>1</v>
      </c>
      <c r="AY3" t="s">
        <v>214</v>
      </c>
      <c r="AZ3" t="s">
        <v>59</v>
      </c>
      <c r="BB3" t="s">
        <v>60</v>
      </c>
      <c r="BC3">
        <v>59.904237049999999</v>
      </c>
      <c r="BD3" t="s">
        <v>215</v>
      </c>
    </row>
    <row r="4" spans="1:56" x14ac:dyDescent="0.3">
      <c r="A4" t="s">
        <v>73</v>
      </c>
      <c r="B4">
        <v>2</v>
      </c>
      <c r="C4">
        <v>2</v>
      </c>
      <c r="D4">
        <v>0</v>
      </c>
      <c r="E4">
        <v>2.622222222</v>
      </c>
      <c r="F4">
        <v>1.7288466</v>
      </c>
      <c r="R4">
        <v>0</v>
      </c>
      <c r="S4">
        <v>2</v>
      </c>
      <c r="T4">
        <v>2</v>
      </c>
      <c r="U4">
        <v>1</v>
      </c>
      <c r="Z4">
        <v>3.4853873000000002</v>
      </c>
      <c r="AB4">
        <v>3.4754301000000001</v>
      </c>
      <c r="AC4">
        <v>3.4853873000000002</v>
      </c>
      <c r="AD4">
        <v>3.4853873000000002</v>
      </c>
      <c r="AE4">
        <v>5.2201614999999997</v>
      </c>
      <c r="AF4">
        <v>2.622222222</v>
      </c>
      <c r="AG4">
        <v>1.7288466</v>
      </c>
      <c r="AW4" t="s">
        <v>213</v>
      </c>
      <c r="AX4">
        <v>1</v>
      </c>
      <c r="AY4" t="s">
        <v>214</v>
      </c>
      <c r="AZ4" t="s">
        <v>59</v>
      </c>
      <c r="BB4" t="s">
        <v>60</v>
      </c>
      <c r="BC4">
        <v>59.904237049999999</v>
      </c>
      <c r="BD4" t="s">
        <v>215</v>
      </c>
    </row>
    <row r="5" spans="1:56" x14ac:dyDescent="0.3">
      <c r="A5" t="s">
        <v>74</v>
      </c>
      <c r="B5">
        <v>3</v>
      </c>
      <c r="C5">
        <v>3</v>
      </c>
      <c r="D5">
        <v>0</v>
      </c>
      <c r="E5">
        <v>2.622222222</v>
      </c>
      <c r="F5">
        <v>1.6955073000000001</v>
      </c>
      <c r="R5">
        <v>0</v>
      </c>
      <c r="S5">
        <v>3</v>
      </c>
      <c r="T5">
        <v>3</v>
      </c>
      <c r="U5">
        <v>2</v>
      </c>
      <c r="Z5">
        <v>5.2355801</v>
      </c>
      <c r="AB5">
        <v>5.2245971999999998</v>
      </c>
      <c r="AC5">
        <v>5.2355801</v>
      </c>
      <c r="AD5">
        <v>5.2355801</v>
      </c>
      <c r="AE5">
        <v>6.9367672999999996</v>
      </c>
      <c r="AF5">
        <v>2.622222222</v>
      </c>
      <c r="AG5">
        <v>1.6955073000000001</v>
      </c>
      <c r="AW5" t="s">
        <v>213</v>
      </c>
      <c r="AX5">
        <v>1</v>
      </c>
      <c r="AY5" t="s">
        <v>214</v>
      </c>
      <c r="AZ5" t="s">
        <v>59</v>
      </c>
      <c r="BB5" t="s">
        <v>60</v>
      </c>
      <c r="BC5">
        <v>59.904237049999999</v>
      </c>
      <c r="BD5" t="s">
        <v>215</v>
      </c>
    </row>
    <row r="6" spans="1:56" x14ac:dyDescent="0.3">
      <c r="A6" t="s">
        <v>70</v>
      </c>
      <c r="B6">
        <v>4</v>
      </c>
      <c r="C6">
        <v>4</v>
      </c>
      <c r="D6">
        <v>0</v>
      </c>
      <c r="E6">
        <v>2.622222222</v>
      </c>
      <c r="F6">
        <v>2.1299812999999999</v>
      </c>
      <c r="R6">
        <v>0</v>
      </c>
      <c r="S6">
        <v>4</v>
      </c>
      <c r="T6">
        <v>4</v>
      </c>
      <c r="U6">
        <v>6</v>
      </c>
      <c r="Z6">
        <v>6.9523508999999999</v>
      </c>
      <c r="AB6">
        <v>6.9413118999999996</v>
      </c>
      <c r="AC6">
        <v>6.9523508999999999</v>
      </c>
      <c r="AD6">
        <v>6.9523508999999999</v>
      </c>
      <c r="AE6">
        <v>9.0864665000000002</v>
      </c>
      <c r="AF6">
        <v>2.622222222</v>
      </c>
      <c r="AG6">
        <v>2.1299812999999999</v>
      </c>
      <c r="AW6" t="s">
        <v>213</v>
      </c>
      <c r="AX6">
        <v>1</v>
      </c>
      <c r="AY6" t="s">
        <v>214</v>
      </c>
      <c r="AZ6" t="s">
        <v>59</v>
      </c>
      <c r="BB6" t="s">
        <v>60</v>
      </c>
      <c r="BC6">
        <v>59.904237049999999</v>
      </c>
      <c r="BD6" t="s">
        <v>215</v>
      </c>
    </row>
    <row r="7" spans="1:56" x14ac:dyDescent="0.3">
      <c r="A7" t="s">
        <v>68</v>
      </c>
      <c r="B7">
        <v>5</v>
      </c>
      <c r="C7">
        <v>5</v>
      </c>
      <c r="D7">
        <v>0</v>
      </c>
      <c r="E7">
        <v>2.622222222</v>
      </c>
      <c r="F7">
        <v>0.69669110000000001</v>
      </c>
      <c r="R7">
        <v>0</v>
      </c>
      <c r="S7">
        <v>5</v>
      </c>
      <c r="T7">
        <v>5</v>
      </c>
      <c r="U7">
        <v>14</v>
      </c>
      <c r="Z7">
        <v>9.1023630000000004</v>
      </c>
      <c r="AB7">
        <v>9.0916566000000003</v>
      </c>
      <c r="AC7">
        <v>9.1023630000000004</v>
      </c>
      <c r="AD7">
        <v>9.1023630000000004</v>
      </c>
      <c r="AE7">
        <v>9.8032267999999991</v>
      </c>
      <c r="AF7">
        <v>2.622222222</v>
      </c>
      <c r="AG7">
        <v>0.69669110000000001</v>
      </c>
      <c r="AW7" t="s">
        <v>213</v>
      </c>
      <c r="AX7">
        <v>1</v>
      </c>
      <c r="AY7" t="s">
        <v>214</v>
      </c>
      <c r="AZ7" t="s">
        <v>59</v>
      </c>
      <c r="BB7" t="s">
        <v>60</v>
      </c>
      <c r="BC7">
        <v>59.904237049999999</v>
      </c>
      <c r="BD7" t="s">
        <v>215</v>
      </c>
    </row>
    <row r="8" spans="1:56" x14ac:dyDescent="0.3">
      <c r="A8" t="s">
        <v>64</v>
      </c>
      <c r="B8">
        <v>6</v>
      </c>
      <c r="C8">
        <v>6</v>
      </c>
      <c r="D8">
        <v>0</v>
      </c>
      <c r="E8">
        <v>4.5481481480000001</v>
      </c>
      <c r="F8">
        <v>1.7640652999999999</v>
      </c>
      <c r="R8">
        <v>0</v>
      </c>
      <c r="S8">
        <v>6</v>
      </c>
      <c r="T8">
        <v>6</v>
      </c>
      <c r="U8">
        <v>11</v>
      </c>
      <c r="Z8">
        <v>9.8188312999999994</v>
      </c>
      <c r="AB8">
        <v>9.8061700999999992</v>
      </c>
      <c r="AC8">
        <v>9.8188312999999994</v>
      </c>
      <c r="AD8">
        <v>9.8188312999999994</v>
      </c>
      <c r="AE8">
        <v>11.586271699999999</v>
      </c>
      <c r="AF8">
        <v>4.5481481480000001</v>
      </c>
      <c r="AG8">
        <v>1.7640652999999999</v>
      </c>
      <c r="AW8" t="s">
        <v>213</v>
      </c>
      <c r="AX8">
        <v>1</v>
      </c>
      <c r="AY8" t="s">
        <v>214</v>
      </c>
      <c r="AZ8" t="s">
        <v>59</v>
      </c>
      <c r="BB8" t="s">
        <v>60</v>
      </c>
      <c r="BC8">
        <v>59.904237049999999</v>
      </c>
      <c r="BD8" t="s">
        <v>215</v>
      </c>
    </row>
    <row r="9" spans="1:56" x14ac:dyDescent="0.3">
      <c r="A9" t="s">
        <v>62</v>
      </c>
      <c r="B9">
        <v>7</v>
      </c>
      <c r="C9">
        <v>7</v>
      </c>
      <c r="D9">
        <v>0</v>
      </c>
      <c r="E9">
        <v>4.5481481480000001</v>
      </c>
      <c r="F9">
        <v>0.66389180000000003</v>
      </c>
      <c r="R9">
        <v>0</v>
      </c>
      <c r="S9">
        <v>7</v>
      </c>
      <c r="T9">
        <v>7</v>
      </c>
      <c r="U9">
        <v>4</v>
      </c>
      <c r="Z9">
        <v>11.6022827</v>
      </c>
      <c r="AB9">
        <v>11.590336000000001</v>
      </c>
      <c r="AC9">
        <v>11.6022827</v>
      </c>
      <c r="AD9">
        <v>11.6022827</v>
      </c>
      <c r="AE9">
        <v>12.2696839</v>
      </c>
      <c r="AF9">
        <v>4.5481481480000001</v>
      </c>
      <c r="AG9">
        <v>0.66389180000000003</v>
      </c>
      <c r="AW9" t="s">
        <v>213</v>
      </c>
      <c r="AX9">
        <v>1</v>
      </c>
      <c r="AY9" t="s">
        <v>214</v>
      </c>
      <c r="AZ9" t="s">
        <v>59</v>
      </c>
      <c r="BB9" t="s">
        <v>60</v>
      </c>
      <c r="BC9">
        <v>59.904237049999999</v>
      </c>
      <c r="BD9" t="s">
        <v>215</v>
      </c>
    </row>
    <row r="10" spans="1:56" x14ac:dyDescent="0.3">
      <c r="A10" t="s">
        <v>72</v>
      </c>
      <c r="B10">
        <v>8</v>
      </c>
      <c r="C10">
        <v>8</v>
      </c>
      <c r="D10">
        <v>0</v>
      </c>
      <c r="E10">
        <v>4.5481481480000001</v>
      </c>
      <c r="F10">
        <v>0.57906170000000001</v>
      </c>
      <c r="R10">
        <v>0</v>
      </c>
      <c r="S10">
        <v>8</v>
      </c>
      <c r="T10">
        <v>8</v>
      </c>
      <c r="U10">
        <v>13</v>
      </c>
      <c r="Z10">
        <v>12.285641099999999</v>
      </c>
      <c r="AB10">
        <v>12.275017200000001</v>
      </c>
      <c r="AC10">
        <v>12.285641099999999</v>
      </c>
      <c r="AD10">
        <v>12.285641099999999</v>
      </c>
      <c r="AE10">
        <v>12.8699192</v>
      </c>
      <c r="AF10">
        <v>4.5481481480000001</v>
      </c>
      <c r="AG10">
        <v>0.57906170000000001</v>
      </c>
      <c r="AW10" t="s">
        <v>213</v>
      </c>
      <c r="AX10">
        <v>1</v>
      </c>
      <c r="AY10" t="s">
        <v>214</v>
      </c>
      <c r="AZ10" t="s">
        <v>59</v>
      </c>
      <c r="BB10" t="s">
        <v>60</v>
      </c>
      <c r="BC10">
        <v>59.904237049999999</v>
      </c>
      <c r="BD10" t="s">
        <v>215</v>
      </c>
    </row>
    <row r="11" spans="1:56" x14ac:dyDescent="0.3">
      <c r="A11" t="s">
        <v>65</v>
      </c>
      <c r="B11">
        <v>9</v>
      </c>
      <c r="C11">
        <v>9</v>
      </c>
      <c r="D11">
        <v>0</v>
      </c>
      <c r="E11">
        <v>2.7370370369999999</v>
      </c>
      <c r="F11">
        <v>1.4968090000000001</v>
      </c>
      <c r="R11">
        <v>0</v>
      </c>
      <c r="S11">
        <v>9</v>
      </c>
      <c r="T11">
        <v>9</v>
      </c>
      <c r="U11">
        <v>10</v>
      </c>
      <c r="Z11">
        <v>12.8857008</v>
      </c>
      <c r="AB11">
        <v>12.8732752</v>
      </c>
      <c r="AC11">
        <v>12.8857008</v>
      </c>
      <c r="AD11">
        <v>12.8857008</v>
      </c>
      <c r="AE11">
        <v>14.386468499999999</v>
      </c>
      <c r="AF11">
        <v>2.7370370369999999</v>
      </c>
      <c r="AG11">
        <v>1.4968090000000001</v>
      </c>
      <c r="AW11" t="s">
        <v>213</v>
      </c>
      <c r="AX11">
        <v>1</v>
      </c>
      <c r="AY11" t="s">
        <v>214</v>
      </c>
      <c r="AZ11" t="s">
        <v>59</v>
      </c>
      <c r="BB11" t="s">
        <v>60</v>
      </c>
      <c r="BC11">
        <v>59.904237049999999</v>
      </c>
      <c r="BD11" t="s">
        <v>215</v>
      </c>
    </row>
    <row r="12" spans="1:56" x14ac:dyDescent="0.3">
      <c r="A12" t="s">
        <v>75</v>
      </c>
      <c r="B12">
        <v>10</v>
      </c>
      <c r="C12">
        <v>10</v>
      </c>
      <c r="D12">
        <v>0</v>
      </c>
      <c r="E12">
        <v>3.4925925929999999</v>
      </c>
      <c r="F12">
        <v>0.98110050000000004</v>
      </c>
      <c r="R12">
        <v>0</v>
      </c>
      <c r="S12">
        <v>10</v>
      </c>
      <c r="T12">
        <v>10</v>
      </c>
      <c r="U12">
        <v>12</v>
      </c>
      <c r="Z12">
        <v>14.402362</v>
      </c>
      <c r="AB12">
        <v>14.389441</v>
      </c>
      <c r="AC12">
        <v>14.402362</v>
      </c>
      <c r="AD12">
        <v>14.402362</v>
      </c>
      <c r="AE12">
        <v>15.386523499999999</v>
      </c>
      <c r="AF12">
        <v>3.4925925929999999</v>
      </c>
      <c r="AG12">
        <v>0.98110050000000004</v>
      </c>
      <c r="AW12" t="s">
        <v>213</v>
      </c>
      <c r="AX12">
        <v>1</v>
      </c>
      <c r="AY12" t="s">
        <v>214</v>
      </c>
      <c r="AZ12" t="s">
        <v>59</v>
      </c>
      <c r="BB12" t="s">
        <v>60</v>
      </c>
      <c r="BC12">
        <v>59.904237049999999</v>
      </c>
      <c r="BD12" t="s">
        <v>215</v>
      </c>
    </row>
    <row r="13" spans="1:56" x14ac:dyDescent="0.3">
      <c r="A13" t="s">
        <v>69</v>
      </c>
      <c r="B13">
        <v>11</v>
      </c>
      <c r="C13">
        <v>11</v>
      </c>
      <c r="D13">
        <v>0</v>
      </c>
      <c r="E13">
        <v>1.4925925929999999</v>
      </c>
      <c r="F13">
        <v>1.3320805</v>
      </c>
      <c r="R13">
        <v>0</v>
      </c>
      <c r="S13">
        <v>11</v>
      </c>
      <c r="T13">
        <v>11</v>
      </c>
      <c r="U13">
        <v>8</v>
      </c>
      <c r="Z13">
        <v>15.402506000000001</v>
      </c>
      <c r="AB13">
        <v>15.388772400000001</v>
      </c>
      <c r="AC13">
        <v>15.402506000000001</v>
      </c>
      <c r="AD13">
        <v>15.402506000000001</v>
      </c>
      <c r="AE13">
        <v>16.736804599999999</v>
      </c>
      <c r="AF13">
        <v>1.4925925929999999</v>
      </c>
      <c r="AG13">
        <v>1.3320805</v>
      </c>
      <c r="AW13" t="s">
        <v>213</v>
      </c>
      <c r="AX13">
        <v>1</v>
      </c>
      <c r="AY13" t="s">
        <v>214</v>
      </c>
      <c r="AZ13" t="s">
        <v>59</v>
      </c>
      <c r="BB13" t="s">
        <v>60</v>
      </c>
      <c r="BC13">
        <v>59.904237049999999</v>
      </c>
      <c r="BD13" t="s">
        <v>215</v>
      </c>
    </row>
    <row r="14" spans="1:56" x14ac:dyDescent="0.3">
      <c r="A14" t="s">
        <v>63</v>
      </c>
      <c r="B14">
        <v>12</v>
      </c>
      <c r="C14">
        <v>12</v>
      </c>
      <c r="D14">
        <v>0</v>
      </c>
      <c r="E14">
        <v>4.4740740739999998</v>
      </c>
      <c r="F14">
        <v>1.2604694999999999</v>
      </c>
      <c r="R14">
        <v>0</v>
      </c>
      <c r="S14">
        <v>12</v>
      </c>
      <c r="T14">
        <v>12</v>
      </c>
      <c r="U14">
        <v>7</v>
      </c>
      <c r="Z14">
        <v>16.756942800000001</v>
      </c>
      <c r="AB14">
        <v>16.744051800000001</v>
      </c>
      <c r="AC14">
        <v>16.756942800000001</v>
      </c>
      <c r="AD14">
        <v>16.756942800000001</v>
      </c>
      <c r="AE14">
        <v>18.020751000000001</v>
      </c>
      <c r="AF14">
        <v>4.4740740739999998</v>
      </c>
      <c r="AG14">
        <v>1.2604694999999999</v>
      </c>
      <c r="AW14" t="s">
        <v>213</v>
      </c>
      <c r="AX14">
        <v>1</v>
      </c>
      <c r="AY14" t="s">
        <v>214</v>
      </c>
      <c r="AZ14" t="s">
        <v>59</v>
      </c>
      <c r="BB14" t="s">
        <v>60</v>
      </c>
      <c r="BC14">
        <v>59.904237049999999</v>
      </c>
      <c r="BD14" t="s">
        <v>215</v>
      </c>
    </row>
    <row r="15" spans="1:56" x14ac:dyDescent="0.3">
      <c r="A15" t="s">
        <v>71</v>
      </c>
      <c r="B15">
        <v>13</v>
      </c>
      <c r="C15">
        <v>13</v>
      </c>
      <c r="D15">
        <v>0</v>
      </c>
      <c r="E15">
        <v>2.7074074069999998</v>
      </c>
      <c r="F15">
        <v>1.1299745999999999</v>
      </c>
      <c r="R15">
        <v>0</v>
      </c>
      <c r="S15">
        <v>13</v>
      </c>
      <c r="T15">
        <v>13</v>
      </c>
      <c r="U15">
        <v>0</v>
      </c>
      <c r="Z15">
        <v>18.035745500000001</v>
      </c>
      <c r="AB15">
        <v>18.024395299999998</v>
      </c>
      <c r="AC15">
        <v>18.035745500000001</v>
      </c>
      <c r="AD15">
        <v>18.035745500000001</v>
      </c>
      <c r="AE15">
        <v>19.1705474</v>
      </c>
      <c r="AF15">
        <v>2.7074074069999998</v>
      </c>
      <c r="AG15">
        <v>1.1299745999999999</v>
      </c>
      <c r="AW15" t="s">
        <v>213</v>
      </c>
      <c r="AX15">
        <v>1</v>
      </c>
      <c r="AY15" t="s">
        <v>214</v>
      </c>
      <c r="AZ15" t="s">
        <v>59</v>
      </c>
      <c r="BB15" t="s">
        <v>60</v>
      </c>
      <c r="BC15">
        <v>59.904237049999999</v>
      </c>
      <c r="BD15" t="s">
        <v>215</v>
      </c>
    </row>
    <row r="16" spans="1:56" x14ac:dyDescent="0.3">
      <c r="A16" t="s">
        <v>66</v>
      </c>
      <c r="B16">
        <v>14</v>
      </c>
      <c r="C16">
        <v>14</v>
      </c>
      <c r="D16">
        <v>0</v>
      </c>
      <c r="E16">
        <v>3.5</v>
      </c>
      <c r="F16">
        <v>0.91090309999999997</v>
      </c>
      <c r="R16">
        <v>0</v>
      </c>
      <c r="S16">
        <v>14</v>
      </c>
      <c r="T16">
        <v>14</v>
      </c>
      <c r="U16">
        <v>9</v>
      </c>
      <c r="Z16">
        <v>19.1856671</v>
      </c>
      <c r="AB16">
        <v>19.176072999999999</v>
      </c>
      <c r="AC16">
        <v>19.1856671</v>
      </c>
      <c r="AD16">
        <v>19.1856671</v>
      </c>
      <c r="AE16">
        <v>20.1037152</v>
      </c>
      <c r="AF16">
        <v>3.5</v>
      </c>
      <c r="AG16">
        <v>0.91090309999999997</v>
      </c>
      <c r="AW16" t="s">
        <v>213</v>
      </c>
      <c r="AX16">
        <v>1</v>
      </c>
      <c r="AY16" t="s">
        <v>214</v>
      </c>
      <c r="AZ16" t="s">
        <v>59</v>
      </c>
      <c r="BB16" t="s">
        <v>60</v>
      </c>
      <c r="BC16">
        <v>59.904237049999999</v>
      </c>
      <c r="BD16" t="s">
        <v>215</v>
      </c>
    </row>
    <row r="17" spans="2:56" x14ac:dyDescent="0.3">
      <c r="B17">
        <v>0</v>
      </c>
      <c r="C17">
        <v>0</v>
      </c>
      <c r="D17">
        <v>0</v>
      </c>
      <c r="G17" t="s">
        <v>96</v>
      </c>
      <c r="H17" t="s">
        <v>97</v>
      </c>
      <c r="I17" t="s">
        <v>77</v>
      </c>
      <c r="J17" t="s">
        <v>74</v>
      </c>
      <c r="K17" t="s">
        <v>216</v>
      </c>
      <c r="L17" t="s">
        <v>217</v>
      </c>
      <c r="M17" t="s">
        <v>81</v>
      </c>
      <c r="N17" t="s">
        <v>82</v>
      </c>
      <c r="O17" t="s">
        <v>82</v>
      </c>
      <c r="P17" t="s">
        <v>218</v>
      </c>
      <c r="Q17" t="s">
        <v>84</v>
      </c>
      <c r="V17">
        <v>0</v>
      </c>
      <c r="W17">
        <v>0</v>
      </c>
      <c r="X17">
        <v>0</v>
      </c>
      <c r="Y17">
        <v>12</v>
      </c>
      <c r="Z17">
        <v>20.123138600000001</v>
      </c>
      <c r="AH17">
        <v>20.115418099999999</v>
      </c>
      <c r="AI17">
        <v>20.123138600000001</v>
      </c>
      <c r="AJ17">
        <v>20.123138600000001</v>
      </c>
      <c r="AK17">
        <v>20.123138600000001</v>
      </c>
      <c r="AL17">
        <v>1.1691399999999999E-2</v>
      </c>
      <c r="AM17">
        <v>28.938519400000001</v>
      </c>
      <c r="AN17" t="s">
        <v>74</v>
      </c>
      <c r="AO17" t="s">
        <v>216</v>
      </c>
      <c r="AP17" t="s">
        <v>217</v>
      </c>
      <c r="AQ17" t="s">
        <v>81</v>
      </c>
      <c r="AR17" t="s">
        <v>82</v>
      </c>
      <c r="AS17" t="s">
        <v>82</v>
      </c>
      <c r="AT17" t="s">
        <v>218</v>
      </c>
      <c r="AU17" t="s">
        <v>84</v>
      </c>
      <c r="AW17" t="s">
        <v>213</v>
      </c>
      <c r="AX17">
        <v>1</v>
      </c>
      <c r="AY17" t="s">
        <v>214</v>
      </c>
      <c r="AZ17" t="s">
        <v>59</v>
      </c>
      <c r="BB17" t="s">
        <v>60</v>
      </c>
      <c r="BC17">
        <v>59.904237049999999</v>
      </c>
      <c r="BD17" t="s">
        <v>215</v>
      </c>
    </row>
    <row r="18" spans="2:56" x14ac:dyDescent="0.3">
      <c r="B18">
        <v>1</v>
      </c>
      <c r="C18">
        <v>1</v>
      </c>
      <c r="D18">
        <v>0</v>
      </c>
      <c r="G18" t="s">
        <v>117</v>
      </c>
      <c r="H18" t="s">
        <v>118</v>
      </c>
      <c r="I18" t="s">
        <v>77</v>
      </c>
      <c r="J18" t="s">
        <v>73</v>
      </c>
      <c r="K18" t="s">
        <v>216</v>
      </c>
      <c r="L18" t="s">
        <v>217</v>
      </c>
      <c r="M18" t="s">
        <v>81</v>
      </c>
      <c r="N18" t="s">
        <v>82</v>
      </c>
      <c r="O18" t="s">
        <v>82</v>
      </c>
      <c r="P18" t="s">
        <v>219</v>
      </c>
      <c r="Q18" t="s">
        <v>84</v>
      </c>
      <c r="V18">
        <v>0</v>
      </c>
      <c r="W18">
        <v>1</v>
      </c>
      <c r="X18">
        <v>1</v>
      </c>
      <c r="Y18">
        <v>14</v>
      </c>
      <c r="Z18">
        <v>28.952709200000001</v>
      </c>
      <c r="AH18">
        <v>28.943389199999999</v>
      </c>
      <c r="AI18">
        <v>28.952709200000001</v>
      </c>
      <c r="AJ18">
        <v>28.952709200000001</v>
      </c>
      <c r="AK18">
        <v>28.952709200000001</v>
      </c>
      <c r="AL18">
        <v>4.7377000000000001E-3</v>
      </c>
      <c r="AM18">
        <v>38.319805500000001</v>
      </c>
      <c r="AN18" t="s">
        <v>73</v>
      </c>
      <c r="AO18" t="s">
        <v>216</v>
      </c>
      <c r="AP18" t="s">
        <v>217</v>
      </c>
      <c r="AQ18" t="s">
        <v>81</v>
      </c>
      <c r="AR18" t="s">
        <v>82</v>
      </c>
      <c r="AS18" t="s">
        <v>82</v>
      </c>
      <c r="AT18" t="s">
        <v>219</v>
      </c>
      <c r="AU18" t="s">
        <v>84</v>
      </c>
      <c r="AW18" t="s">
        <v>213</v>
      </c>
      <c r="AX18">
        <v>1</v>
      </c>
      <c r="AY18" t="s">
        <v>214</v>
      </c>
      <c r="AZ18" t="s">
        <v>59</v>
      </c>
      <c r="BB18" t="s">
        <v>60</v>
      </c>
      <c r="BC18">
        <v>59.904237049999999</v>
      </c>
      <c r="BD18" t="s">
        <v>215</v>
      </c>
    </row>
    <row r="19" spans="2:56" x14ac:dyDescent="0.3">
      <c r="B19">
        <v>2</v>
      </c>
      <c r="C19">
        <v>2</v>
      </c>
      <c r="D19">
        <v>0</v>
      </c>
      <c r="G19" t="s">
        <v>124</v>
      </c>
      <c r="H19" t="s">
        <v>72</v>
      </c>
      <c r="I19" t="s">
        <v>77</v>
      </c>
      <c r="J19" t="s">
        <v>125</v>
      </c>
      <c r="K19" t="s">
        <v>220</v>
      </c>
      <c r="L19" t="s">
        <v>221</v>
      </c>
      <c r="M19" t="s">
        <v>81</v>
      </c>
      <c r="N19" t="s">
        <v>82</v>
      </c>
      <c r="O19" t="s">
        <v>82</v>
      </c>
      <c r="P19" t="s">
        <v>222</v>
      </c>
      <c r="Q19" t="s">
        <v>84</v>
      </c>
      <c r="V19">
        <v>0</v>
      </c>
      <c r="W19">
        <v>2</v>
      </c>
      <c r="X19">
        <v>2</v>
      </c>
      <c r="Y19">
        <v>8</v>
      </c>
      <c r="Z19">
        <v>38.335839399999998</v>
      </c>
      <c r="AH19">
        <v>38.3219803</v>
      </c>
      <c r="AI19">
        <v>38.335839399999998</v>
      </c>
      <c r="AJ19">
        <v>38.335839399999998</v>
      </c>
      <c r="AK19">
        <v>38.335839399999998</v>
      </c>
      <c r="AL19">
        <v>2.0842999999999999E-3</v>
      </c>
      <c r="AM19">
        <v>44.254060199999998</v>
      </c>
      <c r="AN19" t="s">
        <v>125</v>
      </c>
      <c r="AO19" t="s">
        <v>220</v>
      </c>
      <c r="AP19" t="s">
        <v>221</v>
      </c>
      <c r="AQ19" t="s">
        <v>81</v>
      </c>
      <c r="AR19" t="s">
        <v>82</v>
      </c>
      <c r="AS19" t="s">
        <v>82</v>
      </c>
      <c r="AT19" t="s">
        <v>222</v>
      </c>
      <c r="AU19" t="s">
        <v>84</v>
      </c>
      <c r="AW19" t="s">
        <v>213</v>
      </c>
      <c r="AX19">
        <v>1</v>
      </c>
      <c r="AY19" t="s">
        <v>214</v>
      </c>
      <c r="AZ19" t="s">
        <v>59</v>
      </c>
      <c r="BB19" t="s">
        <v>60</v>
      </c>
      <c r="BC19">
        <v>59.904237049999999</v>
      </c>
      <c r="BD19" t="s">
        <v>215</v>
      </c>
    </row>
    <row r="20" spans="2:56" x14ac:dyDescent="0.3">
      <c r="B20">
        <v>3</v>
      </c>
      <c r="C20">
        <v>3</v>
      </c>
      <c r="D20">
        <v>0</v>
      </c>
      <c r="G20" t="s">
        <v>85</v>
      </c>
      <c r="H20" t="s">
        <v>86</v>
      </c>
      <c r="I20" t="s">
        <v>77</v>
      </c>
      <c r="J20" t="s">
        <v>62</v>
      </c>
      <c r="K20" t="s">
        <v>220</v>
      </c>
      <c r="L20" t="s">
        <v>221</v>
      </c>
      <c r="M20" t="s">
        <v>81</v>
      </c>
      <c r="N20" t="s">
        <v>82</v>
      </c>
      <c r="O20" t="s">
        <v>82</v>
      </c>
      <c r="P20" t="s">
        <v>223</v>
      </c>
      <c r="Q20" t="s">
        <v>84</v>
      </c>
      <c r="V20">
        <v>0</v>
      </c>
      <c r="W20">
        <v>3</v>
      </c>
      <c r="X20">
        <v>3</v>
      </c>
      <c r="Y20">
        <v>10</v>
      </c>
      <c r="Z20">
        <v>44.26914</v>
      </c>
      <c r="AH20">
        <v>44.2582898</v>
      </c>
      <c r="AI20">
        <v>44.26914</v>
      </c>
      <c r="AJ20">
        <v>44.26914</v>
      </c>
      <c r="AK20">
        <v>44.26914</v>
      </c>
      <c r="AL20">
        <v>4.0203000000000001E-3</v>
      </c>
      <c r="AM20">
        <v>55.486750800000003</v>
      </c>
      <c r="AN20" t="s">
        <v>62</v>
      </c>
      <c r="AO20" t="s">
        <v>220</v>
      </c>
      <c r="AP20" t="s">
        <v>221</v>
      </c>
      <c r="AQ20" t="s">
        <v>81</v>
      </c>
      <c r="AR20" t="s">
        <v>82</v>
      </c>
      <c r="AS20" t="s">
        <v>82</v>
      </c>
      <c r="AT20" t="s">
        <v>223</v>
      </c>
      <c r="AU20" t="s">
        <v>84</v>
      </c>
      <c r="AV20">
        <v>54.2692038</v>
      </c>
      <c r="AW20" t="s">
        <v>213</v>
      </c>
      <c r="AX20">
        <v>1</v>
      </c>
      <c r="AY20" t="s">
        <v>214</v>
      </c>
      <c r="AZ20" t="s">
        <v>59</v>
      </c>
      <c r="BB20" t="s">
        <v>60</v>
      </c>
      <c r="BC20">
        <v>59.904237049999999</v>
      </c>
      <c r="BD20" t="s">
        <v>215</v>
      </c>
    </row>
    <row r="21" spans="2:56" x14ac:dyDescent="0.3">
      <c r="B21">
        <v>4</v>
      </c>
      <c r="C21">
        <v>4</v>
      </c>
      <c r="D21">
        <v>0</v>
      </c>
      <c r="G21" t="s">
        <v>130</v>
      </c>
      <c r="H21" t="s">
        <v>131</v>
      </c>
      <c r="I21" s="3" t="s">
        <v>104</v>
      </c>
      <c r="J21" t="s">
        <v>132</v>
      </c>
      <c r="K21" t="s">
        <v>220</v>
      </c>
      <c r="L21" t="s">
        <v>221</v>
      </c>
      <c r="M21" t="s">
        <v>81</v>
      </c>
      <c r="N21" t="s">
        <v>82</v>
      </c>
      <c r="O21" t="s">
        <v>82</v>
      </c>
      <c r="P21" t="s">
        <v>224</v>
      </c>
      <c r="Q21" t="s">
        <v>84</v>
      </c>
      <c r="V21">
        <v>0</v>
      </c>
      <c r="W21">
        <v>4</v>
      </c>
      <c r="X21">
        <v>4</v>
      </c>
      <c r="Y21">
        <v>18</v>
      </c>
      <c r="Z21">
        <v>55.502511800000001</v>
      </c>
      <c r="AH21">
        <v>55.491823500000002</v>
      </c>
      <c r="AI21">
        <v>55.502511800000001</v>
      </c>
      <c r="AJ21">
        <v>55.502511800000001</v>
      </c>
      <c r="AK21">
        <v>55.502511800000001</v>
      </c>
      <c r="AL21">
        <v>4.8122E-3</v>
      </c>
      <c r="AM21">
        <v>60.503905199999998</v>
      </c>
      <c r="AN21" t="s">
        <v>132</v>
      </c>
      <c r="AO21" t="s">
        <v>220</v>
      </c>
      <c r="AP21" t="s">
        <v>221</v>
      </c>
      <c r="AQ21" t="s">
        <v>81</v>
      </c>
      <c r="AR21" t="s">
        <v>82</v>
      </c>
      <c r="AS21" t="s">
        <v>82</v>
      </c>
      <c r="AT21" t="s">
        <v>224</v>
      </c>
      <c r="AU21" t="s">
        <v>84</v>
      </c>
      <c r="AW21" t="s">
        <v>213</v>
      </c>
      <c r="AX21">
        <v>1</v>
      </c>
      <c r="AY21" t="s">
        <v>214</v>
      </c>
      <c r="AZ21" t="s">
        <v>59</v>
      </c>
      <c r="BB21" t="s">
        <v>60</v>
      </c>
      <c r="BC21">
        <v>59.904237049999999</v>
      </c>
      <c r="BD21" t="s">
        <v>215</v>
      </c>
    </row>
    <row r="22" spans="2:56" x14ac:dyDescent="0.3">
      <c r="B22">
        <v>5</v>
      </c>
      <c r="C22">
        <v>5</v>
      </c>
      <c r="D22">
        <v>0</v>
      </c>
      <c r="G22" t="s">
        <v>107</v>
      </c>
      <c r="H22" t="s">
        <v>65</v>
      </c>
      <c r="I22" t="s">
        <v>77</v>
      </c>
      <c r="J22" t="s">
        <v>108</v>
      </c>
      <c r="K22" t="s">
        <v>220</v>
      </c>
      <c r="L22" t="s">
        <v>221</v>
      </c>
      <c r="M22" t="s">
        <v>81</v>
      </c>
      <c r="N22" t="s">
        <v>82</v>
      </c>
      <c r="O22" t="s">
        <v>82</v>
      </c>
      <c r="P22" t="s">
        <v>225</v>
      </c>
      <c r="Q22" t="s">
        <v>84</v>
      </c>
      <c r="V22">
        <v>0</v>
      </c>
      <c r="W22">
        <v>5</v>
      </c>
      <c r="X22">
        <v>5</v>
      </c>
      <c r="Y22">
        <v>5</v>
      </c>
      <c r="Z22">
        <v>60.519106399999998</v>
      </c>
      <c r="AH22">
        <v>60.5082983</v>
      </c>
      <c r="AI22">
        <v>60.519106399999998</v>
      </c>
      <c r="AJ22">
        <v>60.519106399999998</v>
      </c>
      <c r="AK22">
        <v>60.519106399999998</v>
      </c>
      <c r="AL22">
        <v>4.2027999999999996E-3</v>
      </c>
      <c r="AM22">
        <v>64.437372600000003</v>
      </c>
      <c r="AN22" t="s">
        <v>108</v>
      </c>
      <c r="AO22" t="s">
        <v>220</v>
      </c>
      <c r="AP22" t="s">
        <v>221</v>
      </c>
      <c r="AQ22" t="s">
        <v>81</v>
      </c>
      <c r="AR22" t="s">
        <v>82</v>
      </c>
      <c r="AS22" t="s">
        <v>82</v>
      </c>
      <c r="AT22" t="s">
        <v>225</v>
      </c>
      <c r="AU22" t="s">
        <v>84</v>
      </c>
      <c r="AW22" t="s">
        <v>213</v>
      </c>
      <c r="AX22">
        <v>1</v>
      </c>
      <c r="AY22" t="s">
        <v>214</v>
      </c>
      <c r="AZ22" t="s">
        <v>59</v>
      </c>
      <c r="BB22" t="s">
        <v>60</v>
      </c>
      <c r="BC22">
        <v>59.904237049999999</v>
      </c>
      <c r="BD22" t="s">
        <v>215</v>
      </c>
    </row>
    <row r="23" spans="2:56" x14ac:dyDescent="0.3">
      <c r="B23">
        <v>6</v>
      </c>
      <c r="C23">
        <v>6</v>
      </c>
      <c r="D23">
        <v>0</v>
      </c>
      <c r="G23" t="s">
        <v>100</v>
      </c>
      <c r="H23" t="s">
        <v>69</v>
      </c>
      <c r="I23" t="s">
        <v>77</v>
      </c>
      <c r="J23" s="1" t="s">
        <v>91</v>
      </c>
      <c r="K23" t="s">
        <v>220</v>
      </c>
      <c r="L23" t="s">
        <v>221</v>
      </c>
      <c r="M23" t="s">
        <v>81</v>
      </c>
      <c r="N23" t="s">
        <v>82</v>
      </c>
      <c r="O23" t="s">
        <v>82</v>
      </c>
      <c r="P23" t="s">
        <v>226</v>
      </c>
      <c r="Q23" t="s">
        <v>84</v>
      </c>
      <c r="V23">
        <v>0</v>
      </c>
      <c r="W23">
        <v>6</v>
      </c>
      <c r="X23">
        <v>6</v>
      </c>
      <c r="Y23">
        <v>3</v>
      </c>
      <c r="Z23">
        <v>64.452269099999995</v>
      </c>
      <c r="AH23">
        <v>64.441835400000002</v>
      </c>
      <c r="AI23">
        <v>64.452269099999995</v>
      </c>
      <c r="AJ23">
        <v>64.452269099999995</v>
      </c>
      <c r="AK23">
        <v>64.452269099999995</v>
      </c>
      <c r="AL23">
        <v>4.2221999999999997E-3</v>
      </c>
      <c r="AM23">
        <v>75.087684999999993</v>
      </c>
      <c r="AN23" t="s">
        <v>91</v>
      </c>
      <c r="AO23" t="s">
        <v>220</v>
      </c>
      <c r="AP23" t="s">
        <v>221</v>
      </c>
      <c r="AQ23" t="s">
        <v>81</v>
      </c>
      <c r="AR23" t="s">
        <v>82</v>
      </c>
      <c r="AS23" t="s">
        <v>82</v>
      </c>
      <c r="AT23" t="s">
        <v>226</v>
      </c>
      <c r="AU23" t="s">
        <v>84</v>
      </c>
      <c r="AV23">
        <v>74.452427099999994</v>
      </c>
      <c r="AW23" t="s">
        <v>213</v>
      </c>
      <c r="AX23">
        <v>1</v>
      </c>
      <c r="AY23" t="s">
        <v>214</v>
      </c>
      <c r="AZ23" t="s">
        <v>59</v>
      </c>
      <c r="BB23" t="s">
        <v>60</v>
      </c>
      <c r="BC23">
        <v>59.904237049999999</v>
      </c>
      <c r="BD23" t="s">
        <v>215</v>
      </c>
    </row>
    <row r="24" spans="2:56" x14ac:dyDescent="0.3">
      <c r="B24">
        <v>7</v>
      </c>
      <c r="C24">
        <v>7</v>
      </c>
      <c r="D24">
        <v>0</v>
      </c>
      <c r="G24" t="s">
        <v>76</v>
      </c>
      <c r="H24" t="s">
        <v>68</v>
      </c>
      <c r="I24" t="s">
        <v>77</v>
      </c>
      <c r="J24" t="s">
        <v>158</v>
      </c>
      <c r="K24" t="s">
        <v>220</v>
      </c>
      <c r="L24" t="s">
        <v>221</v>
      </c>
      <c r="M24" t="s">
        <v>81</v>
      </c>
      <c r="N24" t="s">
        <v>82</v>
      </c>
      <c r="O24" t="s">
        <v>82</v>
      </c>
      <c r="P24" t="s">
        <v>227</v>
      </c>
      <c r="Q24" t="s">
        <v>84</v>
      </c>
      <c r="V24">
        <v>0</v>
      </c>
      <c r="W24">
        <v>7</v>
      </c>
      <c r="X24">
        <v>7</v>
      </c>
      <c r="Y24">
        <v>9</v>
      </c>
      <c r="Z24">
        <v>75.102666999999997</v>
      </c>
      <c r="AH24">
        <v>75.093110100000004</v>
      </c>
      <c r="AI24">
        <v>75.102666999999997</v>
      </c>
      <c r="AJ24">
        <v>75.102666999999997</v>
      </c>
      <c r="AK24">
        <v>75.102666999999997</v>
      </c>
      <c r="AL24">
        <v>5.1567000000000002E-3</v>
      </c>
      <c r="AM24">
        <v>82.720823999999993</v>
      </c>
      <c r="AN24" t="s">
        <v>158</v>
      </c>
      <c r="AO24" t="s">
        <v>220</v>
      </c>
      <c r="AP24" t="s">
        <v>221</v>
      </c>
      <c r="AQ24" t="s">
        <v>81</v>
      </c>
      <c r="AR24" t="s">
        <v>82</v>
      </c>
      <c r="AS24" t="s">
        <v>82</v>
      </c>
      <c r="AT24" t="s">
        <v>227</v>
      </c>
      <c r="AU24" t="s">
        <v>84</v>
      </c>
      <c r="AW24" t="s">
        <v>213</v>
      </c>
      <c r="AX24">
        <v>1</v>
      </c>
      <c r="AY24" t="s">
        <v>214</v>
      </c>
      <c r="AZ24" t="s">
        <v>59</v>
      </c>
      <c r="BB24" t="s">
        <v>60</v>
      </c>
      <c r="BC24">
        <v>59.904237049999999</v>
      </c>
      <c r="BD24" t="s">
        <v>215</v>
      </c>
    </row>
    <row r="25" spans="2:56" x14ac:dyDescent="0.3">
      <c r="B25">
        <v>8</v>
      </c>
      <c r="C25">
        <v>8</v>
      </c>
      <c r="D25">
        <v>0</v>
      </c>
      <c r="G25" t="s">
        <v>148</v>
      </c>
      <c r="H25" t="s">
        <v>149</v>
      </c>
      <c r="I25" s="3" t="s">
        <v>104</v>
      </c>
      <c r="J25" t="s">
        <v>178</v>
      </c>
      <c r="K25" t="s">
        <v>220</v>
      </c>
      <c r="L25" t="s">
        <v>221</v>
      </c>
      <c r="M25" t="s">
        <v>81</v>
      </c>
      <c r="N25" t="s">
        <v>82</v>
      </c>
      <c r="O25" t="s">
        <v>82</v>
      </c>
      <c r="P25" t="s">
        <v>228</v>
      </c>
      <c r="Q25" t="s">
        <v>84</v>
      </c>
      <c r="V25">
        <v>0</v>
      </c>
      <c r="W25">
        <v>8</v>
      </c>
      <c r="X25">
        <v>8</v>
      </c>
      <c r="Y25">
        <v>16</v>
      </c>
      <c r="Z25">
        <v>82.737983</v>
      </c>
      <c r="AH25">
        <v>82.727632799999995</v>
      </c>
      <c r="AI25">
        <v>82.737983</v>
      </c>
      <c r="AJ25">
        <v>82.737983</v>
      </c>
      <c r="AK25">
        <v>82.737983</v>
      </c>
      <c r="AL25">
        <v>6.6521999999999996E-3</v>
      </c>
      <c r="AM25">
        <v>88.554595199999994</v>
      </c>
      <c r="AN25" t="s">
        <v>178</v>
      </c>
      <c r="AO25" t="s">
        <v>220</v>
      </c>
      <c r="AP25" t="s">
        <v>221</v>
      </c>
      <c r="AQ25" t="s">
        <v>81</v>
      </c>
      <c r="AR25" t="s">
        <v>82</v>
      </c>
      <c r="AS25" t="s">
        <v>82</v>
      </c>
      <c r="AT25" t="s">
        <v>228</v>
      </c>
      <c r="AU25" t="s">
        <v>84</v>
      </c>
      <c r="AW25" t="s">
        <v>213</v>
      </c>
      <c r="AX25">
        <v>1</v>
      </c>
      <c r="AY25" t="s">
        <v>214</v>
      </c>
      <c r="AZ25" t="s">
        <v>59</v>
      </c>
      <c r="BB25" t="s">
        <v>60</v>
      </c>
      <c r="BC25">
        <v>59.904237049999999</v>
      </c>
      <c r="BD25" t="s">
        <v>215</v>
      </c>
    </row>
    <row r="26" spans="2:56" x14ac:dyDescent="0.3">
      <c r="B26">
        <v>9</v>
      </c>
      <c r="C26">
        <v>9</v>
      </c>
      <c r="D26">
        <v>0</v>
      </c>
      <c r="G26" t="s">
        <v>114</v>
      </c>
      <c r="H26" t="s">
        <v>75</v>
      </c>
      <c r="I26" t="s">
        <v>77</v>
      </c>
      <c r="J26" t="s">
        <v>115</v>
      </c>
      <c r="K26" t="s">
        <v>220</v>
      </c>
      <c r="L26" t="s">
        <v>221</v>
      </c>
      <c r="M26" t="s">
        <v>81</v>
      </c>
      <c r="N26" t="s">
        <v>82</v>
      </c>
      <c r="O26" t="s">
        <v>82</v>
      </c>
      <c r="P26" t="s">
        <v>229</v>
      </c>
      <c r="Q26" t="s">
        <v>84</v>
      </c>
      <c r="V26">
        <v>0</v>
      </c>
      <c r="W26">
        <v>9</v>
      </c>
      <c r="X26">
        <v>9</v>
      </c>
      <c r="Y26">
        <v>7</v>
      </c>
      <c r="Z26">
        <v>88.577965199999994</v>
      </c>
      <c r="AH26">
        <v>88.560603299999997</v>
      </c>
      <c r="AI26">
        <v>88.577965199999994</v>
      </c>
      <c r="AJ26">
        <v>88.577965199999994</v>
      </c>
      <c r="AK26">
        <v>88.577965199999994</v>
      </c>
      <c r="AL26">
        <v>5.8328E-3</v>
      </c>
      <c r="AM26">
        <v>94.1533199</v>
      </c>
      <c r="AN26" t="s">
        <v>115</v>
      </c>
      <c r="AO26" t="s">
        <v>220</v>
      </c>
      <c r="AP26" t="s">
        <v>221</v>
      </c>
      <c r="AQ26" t="s">
        <v>81</v>
      </c>
      <c r="AR26" t="s">
        <v>82</v>
      </c>
      <c r="AS26" t="s">
        <v>82</v>
      </c>
      <c r="AT26" t="s">
        <v>229</v>
      </c>
      <c r="AU26" t="s">
        <v>84</v>
      </c>
      <c r="AW26" t="s">
        <v>213</v>
      </c>
      <c r="AX26">
        <v>1</v>
      </c>
      <c r="AY26" t="s">
        <v>214</v>
      </c>
      <c r="AZ26" t="s">
        <v>59</v>
      </c>
      <c r="BB26" t="s">
        <v>60</v>
      </c>
      <c r="BC26">
        <v>59.904237049999999</v>
      </c>
      <c r="BD26" t="s">
        <v>215</v>
      </c>
    </row>
    <row r="27" spans="2:56" x14ac:dyDescent="0.3">
      <c r="B27">
        <v>10</v>
      </c>
      <c r="C27">
        <v>10</v>
      </c>
      <c r="D27">
        <v>0</v>
      </c>
      <c r="G27" t="s">
        <v>138</v>
      </c>
      <c r="H27" t="s">
        <v>70</v>
      </c>
      <c r="I27" t="s">
        <v>77</v>
      </c>
      <c r="J27" t="s">
        <v>139</v>
      </c>
      <c r="K27" t="s">
        <v>220</v>
      </c>
      <c r="L27" t="s">
        <v>221</v>
      </c>
      <c r="M27" t="s">
        <v>81</v>
      </c>
      <c r="N27" t="s">
        <v>82</v>
      </c>
      <c r="O27" t="s">
        <v>82</v>
      </c>
      <c r="P27" t="s">
        <v>230</v>
      </c>
      <c r="Q27" t="s">
        <v>84</v>
      </c>
      <c r="V27">
        <v>0</v>
      </c>
      <c r="W27">
        <v>10</v>
      </c>
      <c r="X27">
        <v>10</v>
      </c>
      <c r="Y27">
        <v>1</v>
      </c>
      <c r="Z27">
        <v>94.169130499999994</v>
      </c>
      <c r="AH27">
        <v>94.1559721</v>
      </c>
      <c r="AI27">
        <v>94.169130499999994</v>
      </c>
      <c r="AJ27">
        <v>94.169130499999994</v>
      </c>
      <c r="AK27">
        <v>94.169130499999994</v>
      </c>
      <c r="AL27">
        <v>2.5696999999999998E-3</v>
      </c>
      <c r="AM27">
        <v>98.453944000000007</v>
      </c>
      <c r="AN27" t="s">
        <v>139</v>
      </c>
      <c r="AO27" t="s">
        <v>220</v>
      </c>
      <c r="AP27" t="s">
        <v>221</v>
      </c>
      <c r="AQ27" t="s">
        <v>81</v>
      </c>
      <c r="AR27" t="s">
        <v>82</v>
      </c>
      <c r="AS27" t="s">
        <v>82</v>
      </c>
      <c r="AT27" t="s">
        <v>230</v>
      </c>
      <c r="AU27" t="s">
        <v>84</v>
      </c>
      <c r="AW27" t="s">
        <v>213</v>
      </c>
      <c r="AX27">
        <v>1</v>
      </c>
      <c r="AY27" t="s">
        <v>214</v>
      </c>
      <c r="AZ27" t="s">
        <v>59</v>
      </c>
      <c r="BB27" t="s">
        <v>60</v>
      </c>
      <c r="BC27">
        <v>59.904237049999999</v>
      </c>
      <c r="BD27" t="s">
        <v>215</v>
      </c>
    </row>
    <row r="28" spans="2:56" x14ac:dyDescent="0.3">
      <c r="B28">
        <v>11</v>
      </c>
      <c r="C28">
        <v>11</v>
      </c>
      <c r="D28">
        <v>0</v>
      </c>
      <c r="G28" t="s">
        <v>127</v>
      </c>
      <c r="H28" t="s">
        <v>66</v>
      </c>
      <c r="I28" t="s">
        <v>77</v>
      </c>
      <c r="J28" t="s">
        <v>78</v>
      </c>
      <c r="K28" t="s">
        <v>220</v>
      </c>
      <c r="L28" t="s">
        <v>221</v>
      </c>
      <c r="M28" t="s">
        <v>81</v>
      </c>
      <c r="N28" t="s">
        <v>82</v>
      </c>
      <c r="O28" t="s">
        <v>82</v>
      </c>
      <c r="P28" t="s">
        <v>231</v>
      </c>
      <c r="Q28" t="s">
        <v>84</v>
      </c>
      <c r="V28">
        <v>0</v>
      </c>
      <c r="W28">
        <v>11</v>
      </c>
      <c r="X28">
        <v>11</v>
      </c>
      <c r="Y28">
        <v>4</v>
      </c>
      <c r="Z28">
        <v>98.469128699999999</v>
      </c>
      <c r="AH28">
        <v>98.457969300000002</v>
      </c>
      <c r="AI28">
        <v>98.469128699999999</v>
      </c>
      <c r="AJ28">
        <v>98.469128699999999</v>
      </c>
      <c r="AK28">
        <v>98.469128699999999</v>
      </c>
      <c r="AL28">
        <v>3.9255000000000002E-3</v>
      </c>
      <c r="AM28">
        <v>109.5543953</v>
      </c>
      <c r="AN28" t="s">
        <v>78</v>
      </c>
      <c r="AO28" t="s">
        <v>220</v>
      </c>
      <c r="AP28" t="s">
        <v>221</v>
      </c>
      <c r="AQ28" t="s">
        <v>81</v>
      </c>
      <c r="AR28" t="s">
        <v>82</v>
      </c>
      <c r="AS28" t="s">
        <v>82</v>
      </c>
      <c r="AT28" t="s">
        <v>231</v>
      </c>
      <c r="AU28" t="s">
        <v>84</v>
      </c>
      <c r="AV28">
        <v>108.46919870000001</v>
      </c>
      <c r="AW28" t="s">
        <v>213</v>
      </c>
      <c r="AX28">
        <v>1</v>
      </c>
      <c r="AY28" t="s">
        <v>214</v>
      </c>
      <c r="AZ28" t="s">
        <v>59</v>
      </c>
      <c r="BB28" t="s">
        <v>60</v>
      </c>
      <c r="BC28">
        <v>59.904237049999999</v>
      </c>
      <c r="BD28" t="s">
        <v>215</v>
      </c>
    </row>
    <row r="29" spans="2:56" x14ac:dyDescent="0.3">
      <c r="B29">
        <v>12</v>
      </c>
      <c r="C29">
        <v>12</v>
      </c>
      <c r="D29">
        <v>0</v>
      </c>
      <c r="G29" t="s">
        <v>102</v>
      </c>
      <c r="H29" t="s">
        <v>103</v>
      </c>
      <c r="I29" s="3" t="s">
        <v>104</v>
      </c>
      <c r="J29" t="s">
        <v>105</v>
      </c>
      <c r="K29" t="s">
        <v>220</v>
      </c>
      <c r="L29" t="s">
        <v>221</v>
      </c>
      <c r="M29" t="s">
        <v>81</v>
      </c>
      <c r="N29" t="s">
        <v>82</v>
      </c>
      <c r="O29" t="s">
        <v>82</v>
      </c>
      <c r="P29" t="s">
        <v>232</v>
      </c>
      <c r="Q29" t="s">
        <v>84</v>
      </c>
      <c r="V29">
        <v>0</v>
      </c>
      <c r="W29">
        <v>12</v>
      </c>
      <c r="X29">
        <v>12</v>
      </c>
      <c r="Y29">
        <v>19</v>
      </c>
      <c r="Z29">
        <v>109.5690362</v>
      </c>
      <c r="AH29">
        <v>109.5591491</v>
      </c>
      <c r="AI29">
        <v>109.5690362</v>
      </c>
      <c r="AJ29">
        <v>109.5690362</v>
      </c>
      <c r="AK29">
        <v>109.5690362</v>
      </c>
      <c r="AL29">
        <v>4.5890999999999996E-3</v>
      </c>
      <c r="AM29">
        <v>114.2036229</v>
      </c>
      <c r="AN29" t="s">
        <v>105</v>
      </c>
      <c r="AO29" t="s">
        <v>220</v>
      </c>
      <c r="AP29" t="s">
        <v>221</v>
      </c>
      <c r="AQ29" t="s">
        <v>81</v>
      </c>
      <c r="AR29" t="s">
        <v>82</v>
      </c>
      <c r="AS29" t="s">
        <v>82</v>
      </c>
      <c r="AT29" t="s">
        <v>232</v>
      </c>
      <c r="AU29" t="s">
        <v>84</v>
      </c>
      <c r="AW29" t="s">
        <v>213</v>
      </c>
      <c r="AX29">
        <v>1</v>
      </c>
      <c r="AY29" t="s">
        <v>214</v>
      </c>
      <c r="AZ29" t="s">
        <v>59</v>
      </c>
      <c r="BB29" t="s">
        <v>60</v>
      </c>
      <c r="BC29">
        <v>59.904237049999999</v>
      </c>
      <c r="BD29" t="s">
        <v>215</v>
      </c>
    </row>
    <row r="30" spans="2:56" x14ac:dyDescent="0.3">
      <c r="B30">
        <v>13</v>
      </c>
      <c r="C30">
        <v>13</v>
      </c>
      <c r="D30">
        <v>0</v>
      </c>
      <c r="G30" t="s">
        <v>93</v>
      </c>
      <c r="H30" t="s">
        <v>94</v>
      </c>
      <c r="I30" t="s">
        <v>77</v>
      </c>
      <c r="J30" t="s">
        <v>56</v>
      </c>
      <c r="K30" t="s">
        <v>220</v>
      </c>
      <c r="L30" t="s">
        <v>221</v>
      </c>
      <c r="M30" t="s">
        <v>81</v>
      </c>
      <c r="N30" t="s">
        <v>82</v>
      </c>
      <c r="O30" t="s">
        <v>82</v>
      </c>
      <c r="P30" t="s">
        <v>233</v>
      </c>
      <c r="Q30" t="s">
        <v>84</v>
      </c>
      <c r="V30">
        <v>0</v>
      </c>
      <c r="W30">
        <v>13</v>
      </c>
      <c r="X30">
        <v>13</v>
      </c>
      <c r="Y30">
        <v>11</v>
      </c>
      <c r="Z30">
        <v>114.2190148</v>
      </c>
      <c r="AH30">
        <v>114.20679490000001</v>
      </c>
      <c r="AI30">
        <v>114.2190148</v>
      </c>
      <c r="AJ30">
        <v>114.2190148</v>
      </c>
      <c r="AK30">
        <v>114.2190148</v>
      </c>
      <c r="AL30">
        <v>3.0790000000000001E-3</v>
      </c>
      <c r="AM30">
        <v>118.9871534</v>
      </c>
      <c r="AN30" t="s">
        <v>56</v>
      </c>
      <c r="AO30" t="s">
        <v>220</v>
      </c>
      <c r="AP30" t="s">
        <v>221</v>
      </c>
      <c r="AQ30" t="s">
        <v>81</v>
      </c>
      <c r="AR30" t="s">
        <v>82</v>
      </c>
      <c r="AS30" t="s">
        <v>82</v>
      </c>
      <c r="AT30" t="s">
        <v>233</v>
      </c>
      <c r="AU30" t="s">
        <v>84</v>
      </c>
      <c r="AW30" t="s">
        <v>213</v>
      </c>
      <c r="AX30">
        <v>1</v>
      </c>
      <c r="AY30" t="s">
        <v>214</v>
      </c>
      <c r="AZ30" t="s">
        <v>59</v>
      </c>
      <c r="BB30" t="s">
        <v>60</v>
      </c>
      <c r="BC30">
        <v>59.904237049999999</v>
      </c>
      <c r="BD30" t="s">
        <v>215</v>
      </c>
    </row>
    <row r="31" spans="2:56" x14ac:dyDescent="0.3">
      <c r="B31">
        <v>14</v>
      </c>
      <c r="C31">
        <v>14</v>
      </c>
      <c r="D31">
        <v>0</v>
      </c>
      <c r="G31" t="s">
        <v>110</v>
      </c>
      <c r="H31" t="s">
        <v>111</v>
      </c>
      <c r="I31" t="s">
        <v>77</v>
      </c>
      <c r="J31" t="s">
        <v>193</v>
      </c>
      <c r="K31" t="s">
        <v>220</v>
      </c>
      <c r="L31" t="s">
        <v>221</v>
      </c>
      <c r="M31" t="s">
        <v>81</v>
      </c>
      <c r="N31" t="s">
        <v>82</v>
      </c>
      <c r="O31" t="s">
        <v>82</v>
      </c>
      <c r="P31" t="s">
        <v>234</v>
      </c>
      <c r="Q31" t="s">
        <v>84</v>
      </c>
      <c r="V31">
        <v>0</v>
      </c>
      <c r="W31">
        <v>14</v>
      </c>
      <c r="X31">
        <v>14</v>
      </c>
      <c r="Y31">
        <v>2</v>
      </c>
      <c r="Z31">
        <v>119.00238950000001</v>
      </c>
      <c r="AH31">
        <v>118.9902991</v>
      </c>
      <c r="AI31">
        <v>119.00238950000001</v>
      </c>
      <c r="AJ31">
        <v>119.00238950000001</v>
      </c>
      <c r="AK31">
        <v>119.00238950000001</v>
      </c>
      <c r="AL31">
        <v>3.0368999999999999E-3</v>
      </c>
      <c r="AM31">
        <v>138.5051086</v>
      </c>
      <c r="AN31" t="s">
        <v>193</v>
      </c>
      <c r="AO31" t="s">
        <v>220</v>
      </c>
      <c r="AP31" t="s">
        <v>221</v>
      </c>
      <c r="AQ31" t="s">
        <v>81</v>
      </c>
      <c r="AR31" t="s">
        <v>82</v>
      </c>
      <c r="AS31" t="s">
        <v>82</v>
      </c>
      <c r="AT31" t="s">
        <v>234</v>
      </c>
      <c r="AU31" t="s">
        <v>84</v>
      </c>
      <c r="AV31">
        <v>129.00265640000001</v>
      </c>
      <c r="AW31" t="s">
        <v>213</v>
      </c>
      <c r="AX31">
        <v>1</v>
      </c>
      <c r="AY31" t="s">
        <v>214</v>
      </c>
      <c r="AZ31" t="s">
        <v>59</v>
      </c>
      <c r="BB31" t="s">
        <v>60</v>
      </c>
      <c r="BC31">
        <v>59.904237049999999</v>
      </c>
      <c r="BD31" t="s">
        <v>215</v>
      </c>
    </row>
    <row r="32" spans="2:56" x14ac:dyDescent="0.3">
      <c r="B32">
        <v>15</v>
      </c>
      <c r="C32">
        <v>15</v>
      </c>
      <c r="D32">
        <v>0</v>
      </c>
      <c r="G32" t="s">
        <v>141</v>
      </c>
      <c r="H32" t="s">
        <v>67</v>
      </c>
      <c r="I32" t="s">
        <v>77</v>
      </c>
      <c r="J32" t="s">
        <v>142</v>
      </c>
      <c r="K32" t="s">
        <v>220</v>
      </c>
      <c r="L32" t="s">
        <v>221</v>
      </c>
      <c r="M32" t="s">
        <v>81</v>
      </c>
      <c r="N32" t="s">
        <v>82</v>
      </c>
      <c r="O32" t="s">
        <v>82</v>
      </c>
      <c r="P32" t="s">
        <v>235</v>
      </c>
      <c r="Q32" t="s">
        <v>84</v>
      </c>
      <c r="V32">
        <v>0</v>
      </c>
      <c r="W32">
        <v>15</v>
      </c>
      <c r="X32">
        <v>15</v>
      </c>
      <c r="Y32">
        <v>0</v>
      </c>
      <c r="Z32">
        <v>138.51925399999999</v>
      </c>
      <c r="AH32">
        <v>138.51034559999999</v>
      </c>
      <c r="AI32">
        <v>138.51925399999999</v>
      </c>
      <c r="AJ32">
        <v>138.51925399999999</v>
      </c>
      <c r="AK32">
        <v>138.51925399999999</v>
      </c>
      <c r="AL32">
        <v>5.0331999999999998E-3</v>
      </c>
      <c r="AM32">
        <v>143.6213951</v>
      </c>
      <c r="AN32" t="s">
        <v>142</v>
      </c>
      <c r="AO32" t="s">
        <v>220</v>
      </c>
      <c r="AP32" t="s">
        <v>221</v>
      </c>
      <c r="AQ32" t="s">
        <v>81</v>
      </c>
      <c r="AR32" t="s">
        <v>82</v>
      </c>
      <c r="AS32" t="s">
        <v>82</v>
      </c>
      <c r="AT32" t="s">
        <v>235</v>
      </c>
      <c r="AU32" t="s">
        <v>84</v>
      </c>
      <c r="AW32" t="s">
        <v>213</v>
      </c>
      <c r="AX32">
        <v>1</v>
      </c>
      <c r="AY32" t="s">
        <v>214</v>
      </c>
      <c r="AZ32" t="s">
        <v>59</v>
      </c>
      <c r="BB32" t="s">
        <v>60</v>
      </c>
      <c r="BC32">
        <v>59.904237049999999</v>
      </c>
      <c r="BD32" t="s">
        <v>215</v>
      </c>
    </row>
    <row r="33" spans="2:56" x14ac:dyDescent="0.3">
      <c r="B33">
        <v>16</v>
      </c>
      <c r="C33">
        <v>16</v>
      </c>
      <c r="D33">
        <v>0</v>
      </c>
      <c r="G33" t="s">
        <v>121</v>
      </c>
      <c r="H33" t="s">
        <v>122</v>
      </c>
      <c r="I33" t="s">
        <v>77</v>
      </c>
      <c r="J33" t="s">
        <v>71</v>
      </c>
      <c r="K33" t="s">
        <v>220</v>
      </c>
      <c r="L33" t="s">
        <v>221</v>
      </c>
      <c r="M33" t="s">
        <v>81</v>
      </c>
      <c r="N33" t="s">
        <v>82</v>
      </c>
      <c r="O33" t="s">
        <v>82</v>
      </c>
      <c r="P33" t="s">
        <v>236</v>
      </c>
      <c r="Q33" t="s">
        <v>84</v>
      </c>
      <c r="V33">
        <v>0</v>
      </c>
      <c r="W33">
        <v>16</v>
      </c>
      <c r="X33">
        <v>16</v>
      </c>
      <c r="Y33">
        <v>13</v>
      </c>
      <c r="Z33">
        <v>143.63788790000001</v>
      </c>
      <c r="AH33">
        <v>143.62623400000001</v>
      </c>
      <c r="AI33">
        <v>143.63788790000001</v>
      </c>
      <c r="AJ33">
        <v>143.63788790000001</v>
      </c>
      <c r="AK33">
        <v>143.63788790000001</v>
      </c>
      <c r="AL33">
        <v>4.6721000000000002E-3</v>
      </c>
      <c r="AM33">
        <v>147.00378409999999</v>
      </c>
      <c r="AN33" t="s">
        <v>71</v>
      </c>
      <c r="AO33" t="s">
        <v>220</v>
      </c>
      <c r="AP33" t="s">
        <v>221</v>
      </c>
      <c r="AQ33" t="s">
        <v>81</v>
      </c>
      <c r="AR33" t="s">
        <v>82</v>
      </c>
      <c r="AS33" t="s">
        <v>82</v>
      </c>
      <c r="AT33" t="s">
        <v>236</v>
      </c>
      <c r="AU33" t="s">
        <v>84</v>
      </c>
      <c r="AW33" t="s">
        <v>213</v>
      </c>
      <c r="AX33">
        <v>1</v>
      </c>
      <c r="AY33" t="s">
        <v>214</v>
      </c>
      <c r="AZ33" t="s">
        <v>59</v>
      </c>
      <c r="BB33" t="s">
        <v>60</v>
      </c>
      <c r="BC33">
        <v>59.904237049999999</v>
      </c>
      <c r="BD33" t="s">
        <v>215</v>
      </c>
    </row>
    <row r="34" spans="2:56" x14ac:dyDescent="0.3">
      <c r="B34">
        <v>17</v>
      </c>
      <c r="C34">
        <v>17</v>
      </c>
      <c r="D34">
        <v>0</v>
      </c>
      <c r="G34" t="s">
        <v>90</v>
      </c>
      <c r="H34" t="s">
        <v>64</v>
      </c>
      <c r="I34" t="s">
        <v>77</v>
      </c>
      <c r="J34" t="s">
        <v>91</v>
      </c>
      <c r="K34" t="s">
        <v>220</v>
      </c>
      <c r="L34" t="s">
        <v>221</v>
      </c>
      <c r="M34" t="s">
        <v>81</v>
      </c>
      <c r="N34" t="s">
        <v>82</v>
      </c>
      <c r="O34" t="s">
        <v>82</v>
      </c>
      <c r="P34" t="s">
        <v>237</v>
      </c>
      <c r="Q34" t="s">
        <v>84</v>
      </c>
      <c r="V34">
        <v>0</v>
      </c>
      <c r="W34">
        <v>17</v>
      </c>
      <c r="X34">
        <v>17</v>
      </c>
      <c r="Y34">
        <v>6</v>
      </c>
      <c r="Z34">
        <v>147.01927420000001</v>
      </c>
      <c r="AH34">
        <v>147.00897749999999</v>
      </c>
      <c r="AI34">
        <v>147.01927420000001</v>
      </c>
      <c r="AJ34">
        <v>147.01927420000001</v>
      </c>
      <c r="AK34">
        <v>147.01927420000001</v>
      </c>
      <c r="AL34">
        <v>5.1123000000000002E-3</v>
      </c>
      <c r="AM34">
        <v>162.17034000000001</v>
      </c>
      <c r="AN34" t="s">
        <v>91</v>
      </c>
      <c r="AO34" t="s">
        <v>220</v>
      </c>
      <c r="AP34" t="s">
        <v>221</v>
      </c>
      <c r="AQ34" t="s">
        <v>81</v>
      </c>
      <c r="AR34" t="s">
        <v>82</v>
      </c>
      <c r="AS34" t="s">
        <v>82</v>
      </c>
      <c r="AT34" t="s">
        <v>237</v>
      </c>
      <c r="AU34" t="s">
        <v>84</v>
      </c>
      <c r="AV34">
        <v>157.01917090000001</v>
      </c>
      <c r="AW34" t="s">
        <v>213</v>
      </c>
      <c r="AX34">
        <v>1</v>
      </c>
      <c r="AY34" t="s">
        <v>214</v>
      </c>
      <c r="AZ34" t="s">
        <v>59</v>
      </c>
      <c r="BB34" t="s">
        <v>60</v>
      </c>
      <c r="BC34">
        <v>59.904237049999999</v>
      </c>
      <c r="BD34" t="s">
        <v>215</v>
      </c>
    </row>
    <row r="35" spans="2:56" x14ac:dyDescent="0.3">
      <c r="B35">
        <v>18</v>
      </c>
      <c r="C35">
        <v>18</v>
      </c>
      <c r="D35">
        <v>0</v>
      </c>
      <c r="G35" t="s">
        <v>144</v>
      </c>
      <c r="H35" t="s">
        <v>145</v>
      </c>
      <c r="I35" s="3" t="s">
        <v>104</v>
      </c>
      <c r="J35" t="s">
        <v>146</v>
      </c>
      <c r="K35" t="s">
        <v>220</v>
      </c>
      <c r="L35" t="s">
        <v>221</v>
      </c>
      <c r="M35" t="s">
        <v>81</v>
      </c>
      <c r="N35" t="s">
        <v>82</v>
      </c>
      <c r="O35" t="s">
        <v>82</v>
      </c>
      <c r="P35" t="s">
        <v>238</v>
      </c>
      <c r="Q35" t="s">
        <v>84</v>
      </c>
      <c r="V35">
        <v>0</v>
      </c>
      <c r="W35">
        <v>18</v>
      </c>
      <c r="X35">
        <v>18</v>
      </c>
      <c r="Y35">
        <v>15</v>
      </c>
      <c r="Z35">
        <v>162.18615969999999</v>
      </c>
      <c r="AH35">
        <v>162.17318159999999</v>
      </c>
      <c r="AI35">
        <v>162.18615969999999</v>
      </c>
      <c r="AJ35">
        <v>162.18615969999999</v>
      </c>
      <c r="AK35">
        <v>162.18615969999999</v>
      </c>
      <c r="AL35">
        <v>2.7461E-3</v>
      </c>
      <c r="AM35">
        <v>167.0370188</v>
      </c>
      <c r="AN35" t="s">
        <v>146</v>
      </c>
      <c r="AO35" t="s">
        <v>220</v>
      </c>
      <c r="AP35" t="s">
        <v>221</v>
      </c>
      <c r="AQ35" t="s">
        <v>81</v>
      </c>
      <c r="AR35" t="s">
        <v>82</v>
      </c>
      <c r="AS35" t="s">
        <v>82</v>
      </c>
      <c r="AT35" t="s">
        <v>238</v>
      </c>
      <c r="AU35" t="s">
        <v>84</v>
      </c>
      <c r="AW35" t="s">
        <v>213</v>
      </c>
      <c r="AX35">
        <v>1</v>
      </c>
      <c r="AY35" t="s">
        <v>214</v>
      </c>
      <c r="AZ35" t="s">
        <v>59</v>
      </c>
      <c r="BB35" t="s">
        <v>60</v>
      </c>
      <c r="BC35">
        <v>59.904237049999999</v>
      </c>
      <c r="BD35" t="s">
        <v>215</v>
      </c>
    </row>
    <row r="36" spans="2:56" x14ac:dyDescent="0.3">
      <c r="B36">
        <v>19</v>
      </c>
      <c r="C36">
        <v>19</v>
      </c>
      <c r="D36">
        <v>0</v>
      </c>
      <c r="G36" t="s">
        <v>134</v>
      </c>
      <c r="H36" t="s">
        <v>135</v>
      </c>
      <c r="I36" s="3" t="s">
        <v>104</v>
      </c>
      <c r="J36" t="s">
        <v>136</v>
      </c>
      <c r="K36" t="s">
        <v>220</v>
      </c>
      <c r="L36" t="s">
        <v>221</v>
      </c>
      <c r="M36" t="s">
        <v>81</v>
      </c>
      <c r="N36" t="s">
        <v>82</v>
      </c>
      <c r="O36" t="s">
        <v>82</v>
      </c>
      <c r="P36" t="s">
        <v>239</v>
      </c>
      <c r="Q36" t="s">
        <v>84</v>
      </c>
      <c r="V36">
        <v>0</v>
      </c>
      <c r="W36">
        <v>19</v>
      </c>
      <c r="X36">
        <v>19</v>
      </c>
      <c r="Y36">
        <v>17</v>
      </c>
      <c r="Z36">
        <v>167.05250419999999</v>
      </c>
      <c r="AH36">
        <v>167.0416999</v>
      </c>
      <c r="AI36">
        <v>167.05250419999999</v>
      </c>
      <c r="AJ36">
        <v>167.05250419999999</v>
      </c>
      <c r="AK36">
        <v>167.05250419999999</v>
      </c>
      <c r="AL36">
        <v>4.5783000000000004E-3</v>
      </c>
      <c r="AM36">
        <v>172.08747080000001</v>
      </c>
      <c r="AN36" t="s">
        <v>136</v>
      </c>
      <c r="AO36" t="s">
        <v>220</v>
      </c>
      <c r="AP36" t="s">
        <v>221</v>
      </c>
      <c r="AQ36" t="s">
        <v>81</v>
      </c>
      <c r="AR36" t="s">
        <v>82</v>
      </c>
      <c r="AS36" t="s">
        <v>82</v>
      </c>
      <c r="AT36" t="s">
        <v>239</v>
      </c>
      <c r="AU36" t="s">
        <v>84</v>
      </c>
      <c r="AW36" t="s">
        <v>213</v>
      </c>
      <c r="AX36">
        <v>1</v>
      </c>
      <c r="AY36" t="s">
        <v>214</v>
      </c>
      <c r="AZ36" t="s">
        <v>59</v>
      </c>
      <c r="BB36" t="s">
        <v>60</v>
      </c>
      <c r="BC36">
        <v>59.904237049999999</v>
      </c>
      <c r="BD36" t="s">
        <v>215</v>
      </c>
    </row>
    <row r="39" spans="2:56" x14ac:dyDescent="0.3">
      <c r="I39" t="s">
        <v>240</v>
      </c>
      <c r="L39">
        <v>14</v>
      </c>
      <c r="M39">
        <f>L39/15</f>
        <v>0.93333333333333335</v>
      </c>
    </row>
    <row r="40" spans="2:56" x14ac:dyDescent="0.3">
      <c r="I40" t="s">
        <v>241</v>
      </c>
      <c r="L40">
        <v>5</v>
      </c>
      <c r="M40">
        <f>L40/5</f>
        <v>1</v>
      </c>
    </row>
    <row r="42" spans="2:56" x14ac:dyDescent="0.3">
      <c r="I42" t="s">
        <v>242</v>
      </c>
      <c r="K42">
        <f>M39-M40</f>
        <v>-6.6666666666666652E-2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2025-10-14T04:11:23Z</dcterms:created>
  <dcterms:modified xsi:type="dcterms:W3CDTF">2025-10-16T13:28:41Z</dcterms:modified>
</cp:coreProperties>
</file>