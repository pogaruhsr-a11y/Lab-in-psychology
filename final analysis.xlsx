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solo project\"/>
    </mc:Choice>
  </mc:AlternateContent>
  <bookViews>
    <workbookView xWindow="0" yWindow="0" windowWidth="22452" windowHeight="8472" firstSheet="1" activeTab="1"/>
  </bookViews>
  <sheets>
    <sheet name="Sheet1" sheetId="1" state="hidden" r:id="rId1"/>
    <sheet name="p3" sheetId="3" r:id="rId2"/>
    <sheet name="p2" sheetId="2" r:id="rId3"/>
    <sheet name="p1" sheetId="5" r:id="rId4"/>
    <sheet name="p5" sheetId="6" r:id="rId5"/>
    <sheet name="p4" sheetId="4" r:id="rId6"/>
  </sheets>
  <definedNames>
    <definedName name="_xlnm._FilterDatabase" localSheetId="3" hidden="1">'p1'!$G$80:$G$118</definedName>
    <definedName name="_xlnm._FilterDatabase" localSheetId="2" hidden="1">'p2'!$G$80:$G$118</definedName>
    <definedName name="_xlnm._FilterDatabase" localSheetId="1" hidden="1">'p3'!$G$80:$G$118</definedName>
    <definedName name="_xlnm._FilterDatabase" localSheetId="4" hidden="1">'p5'!$G$2:$G$40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5" l="1"/>
  <c r="L9" i="5"/>
  <c r="L8" i="5"/>
  <c r="L13" i="2"/>
  <c r="L15" i="3"/>
  <c r="K12" i="6" l="1"/>
  <c r="N25" i="4"/>
  <c r="N24" i="4"/>
  <c r="L23" i="6"/>
  <c r="N23" i="6" s="1"/>
  <c r="L22" i="6"/>
  <c r="N22" i="6" s="1"/>
  <c r="K11" i="6"/>
  <c r="K10" i="6"/>
  <c r="N24" i="6"/>
  <c r="K18" i="6"/>
  <c r="K10" i="5"/>
  <c r="K9" i="5"/>
  <c r="K8" i="5"/>
  <c r="N22" i="5"/>
  <c r="N21" i="5"/>
  <c r="N20" i="5"/>
  <c r="L25" i="2"/>
  <c r="N25" i="2" s="1"/>
  <c r="K17" i="2"/>
  <c r="K13" i="2"/>
  <c r="K19" i="2" s="1"/>
  <c r="K12" i="2"/>
  <c r="K11" i="2"/>
  <c r="N24" i="2"/>
  <c r="N23" i="2"/>
  <c r="K19" i="3"/>
  <c r="N27" i="3"/>
  <c r="L27" i="3"/>
  <c r="N26" i="3"/>
  <c r="N25" i="3"/>
  <c r="L26" i="3"/>
  <c r="L25" i="3"/>
  <c r="K26" i="3"/>
  <c r="K25" i="3"/>
  <c r="K15" i="3"/>
  <c r="K21" i="3" s="1"/>
  <c r="K14" i="3"/>
  <c r="K13" i="3"/>
  <c r="L25" i="4"/>
  <c r="L24" i="4"/>
  <c r="N23" i="4"/>
  <c r="L23" i="4"/>
  <c r="K23" i="4"/>
  <c r="J14" i="1"/>
  <c r="K19" i="4"/>
  <c r="K17" i="4"/>
  <c r="K13" i="4"/>
  <c r="K12" i="4"/>
  <c r="K11" i="4"/>
  <c r="K16" i="6" l="1"/>
  <c r="K16" i="5"/>
  <c r="K14" i="5"/>
  <c r="I42" i="1"/>
  <c r="K10" i="1" l="1"/>
  <c r="K9" i="1"/>
  <c r="K8" i="1"/>
  <c r="J10" i="1"/>
  <c r="J9" i="1"/>
  <c r="J8" i="1"/>
  <c r="J16" i="1" l="1"/>
</calcChain>
</file>

<file path=xl/sharedStrings.xml><?xml version="1.0" encoding="utf-8"?>
<sst xmlns="http://schemas.openxmlformats.org/spreadsheetml/2006/main" count="3868" uniqueCount="148">
  <si>
    <t>thisN</t>
  </si>
  <si>
    <t>word</t>
  </si>
  <si>
    <t>font_color</t>
  </si>
  <si>
    <t>correct_res</t>
  </si>
  <si>
    <t>Category</t>
  </si>
  <si>
    <t>key_resp.keys</t>
  </si>
  <si>
    <t>key_resp.rt</t>
  </si>
  <si>
    <t>rock</t>
  </si>
  <si>
    <t>red</t>
  </si>
  <si>
    <t>r</t>
  </si>
  <si>
    <t>neutral_per</t>
  </si>
  <si>
    <t>key</t>
  </si>
  <si>
    <t>pink</t>
  </si>
  <si>
    <t>p</t>
  </si>
  <si>
    <t>can</t>
  </si>
  <si>
    <t>lady</t>
  </si>
  <si>
    <t>fair</t>
  </si>
  <si>
    <t>yellow</t>
  </si>
  <si>
    <t>y</t>
  </si>
  <si>
    <t>walk</t>
  </si>
  <si>
    <t>take</t>
  </si>
  <si>
    <t>blue</t>
  </si>
  <si>
    <t>b</t>
  </si>
  <si>
    <t>call</t>
  </si>
  <si>
    <t>cup</t>
  </si>
  <si>
    <t>copy</t>
  </si>
  <si>
    <t>fur</t>
  </si>
  <si>
    <t>type</t>
  </si>
  <si>
    <t>dogs</t>
  </si>
  <si>
    <t>ten</t>
  </si>
  <si>
    <t>road</t>
  </si>
  <si>
    <t>bud</t>
  </si>
  <si>
    <t>pot</t>
  </si>
  <si>
    <t>bed</t>
  </si>
  <si>
    <t>size</t>
  </si>
  <si>
    <t>ride</t>
  </si>
  <si>
    <t>time</t>
  </si>
  <si>
    <t>feed</t>
  </si>
  <si>
    <t>box</t>
  </si>
  <si>
    <t>sum</t>
  </si>
  <si>
    <t>pull</t>
  </si>
  <si>
    <t>ring</t>
  </si>
  <si>
    <t>full</t>
  </si>
  <si>
    <t>pie</t>
  </si>
  <si>
    <t>park</t>
  </si>
  <si>
    <t>core</t>
  </si>
  <si>
    <t>shop</t>
  </si>
  <si>
    <t>sold</t>
  </si>
  <si>
    <t>head</t>
  </si>
  <si>
    <t>page</t>
  </si>
  <si>
    <t>door</t>
  </si>
  <si>
    <t>note</t>
  </si>
  <si>
    <t>mop</t>
  </si>
  <si>
    <t>send</t>
  </si>
  <si>
    <t>spy</t>
  </si>
  <si>
    <t>fail</t>
  </si>
  <si>
    <t>fire</t>
  </si>
  <si>
    <t>doom</t>
  </si>
  <si>
    <t>bomb</t>
  </si>
  <si>
    <t>hurt</t>
  </si>
  <si>
    <t>kill</t>
  </si>
  <si>
    <t>fool</t>
  </si>
  <si>
    <t>lame</t>
  </si>
  <si>
    <t>evil</t>
  </si>
  <si>
    <t>risk</t>
  </si>
  <si>
    <t>weak</t>
  </si>
  <si>
    <t>sin</t>
  </si>
  <si>
    <t>hate</t>
  </si>
  <si>
    <t>die</t>
  </si>
  <si>
    <t>flow</t>
  </si>
  <si>
    <t>war</t>
  </si>
  <si>
    <t>pox</t>
  </si>
  <si>
    <t>hell</t>
  </si>
  <si>
    <t>sad</t>
  </si>
  <si>
    <t>fear</t>
  </si>
  <si>
    <t>mad</t>
  </si>
  <si>
    <t>poor</t>
  </si>
  <si>
    <t>harm</t>
  </si>
  <si>
    <t>pain</t>
  </si>
  <si>
    <t>ugly</t>
  </si>
  <si>
    <t>ill</t>
  </si>
  <si>
    <t>low</t>
  </si>
  <si>
    <t>rape</t>
  </si>
  <si>
    <t>sick</t>
  </si>
  <si>
    <t>loss</t>
  </si>
  <si>
    <t>kick</t>
  </si>
  <si>
    <t>shot</t>
  </si>
  <si>
    <t>mud</t>
  </si>
  <si>
    <t>shy</t>
  </si>
  <si>
    <t>dead</t>
  </si>
  <si>
    <t>mean</t>
  </si>
  <si>
    <t>slow</t>
  </si>
  <si>
    <t xml:space="preserve">dogs </t>
  </si>
  <si>
    <t>condition</t>
  </si>
  <si>
    <t>pre - neutral</t>
  </si>
  <si>
    <t>emotional</t>
  </si>
  <si>
    <t>post - neutral</t>
  </si>
  <si>
    <t>meant rt</t>
  </si>
  <si>
    <t xml:space="preserve">stroop pre </t>
  </si>
  <si>
    <t>stroop post</t>
  </si>
  <si>
    <t>accuracy</t>
  </si>
  <si>
    <t>correct_resp</t>
  </si>
  <si>
    <t>key_resp.corr</t>
  </si>
  <si>
    <t xml:space="preserve">accuracy </t>
  </si>
  <si>
    <t>total</t>
  </si>
  <si>
    <t>correct</t>
  </si>
  <si>
    <t>incorrect</t>
  </si>
  <si>
    <t>percentage</t>
  </si>
  <si>
    <t>instruction2.started</t>
  </si>
  <si>
    <t>text_2.started</t>
  </si>
  <si>
    <t>key_resp_3.started</t>
  </si>
  <si>
    <t>instruction2.stopped</t>
  </si>
  <si>
    <t>key_resp_3.keys</t>
  </si>
  <si>
    <t>key_resp_3.rt</t>
  </si>
  <si>
    <t>key_resp_3.duration</t>
  </si>
  <si>
    <t>emotional.key_resp.keys</t>
  </si>
  <si>
    <t>emotional.key_resp.corr</t>
  </si>
  <si>
    <t>emotional.key_resp.rt</t>
  </si>
  <si>
    <t>emotional.key_resp.duration</t>
  </si>
  <si>
    <t>instructions3.started</t>
  </si>
  <si>
    <t>text_3.started</t>
  </si>
  <si>
    <t>key_resp_4.started</t>
  </si>
  <si>
    <t>instructions3.stopped</t>
  </si>
  <si>
    <t>key_resp_4.keys</t>
  </si>
  <si>
    <t>key_resp_4.rt</t>
  </si>
  <si>
    <t>key_resp_4.duration</t>
  </si>
  <si>
    <t>neutral_post.key_resp.keys</t>
  </si>
  <si>
    <t>neutral_post.key_resp.corr</t>
  </si>
  <si>
    <t>neutral_post.key_resp.rt</t>
  </si>
  <si>
    <t>neutral_post.key_resp.duration</t>
  </si>
  <si>
    <t>end_2.started</t>
  </si>
  <si>
    <t>text.started</t>
  </si>
  <si>
    <t>key_resp_5.started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</si>
  <si>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</si>
  <si>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</si>
  <si>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</si>
  <si>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</si>
  <si>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</si>
  <si>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</si>
  <si>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</si>
  <si>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</si>
  <si>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</si>
  <si>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</si>
  <si>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emotional stroop</t>
  </si>
  <si>
    <t>2025.1.1</t>
  </si>
  <si>
    <t>pp1</t>
  </si>
  <si>
    <t>2025-11-20_13h52.32.461</t>
  </si>
  <si>
    <t>2025-11-20 13h52.45.475036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</si>
</sst>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opLeftCell="A86" workbookViewId="0">
      <selection activeCell="G112" sqref="G1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0</v>
      </c>
      <c r="B2" t="s">
        <v>7</v>
      </c>
      <c r="C2" t="s">
        <v>8</v>
      </c>
      <c r="D2" t="s">
        <v>9</v>
      </c>
      <c r="E2" t="s">
        <v>10</v>
      </c>
      <c r="F2" t="s">
        <v>9</v>
      </c>
      <c r="G2">
        <v>1.07701329998963</v>
      </c>
    </row>
    <row r="3" spans="1:11" x14ac:dyDescent="0.3">
      <c r="A3">
        <v>1</v>
      </c>
      <c r="B3" t="s">
        <v>11</v>
      </c>
      <c r="C3" t="s">
        <v>12</v>
      </c>
      <c r="D3" t="s">
        <v>13</v>
      </c>
      <c r="E3" t="s">
        <v>10</v>
      </c>
      <c r="F3" t="s">
        <v>13</v>
      </c>
      <c r="G3">
        <v>1.08021220000227</v>
      </c>
    </row>
    <row r="4" spans="1:11" x14ac:dyDescent="0.3">
      <c r="A4">
        <v>2</v>
      </c>
      <c r="B4" t="s">
        <v>14</v>
      </c>
      <c r="C4" t="s">
        <v>8</v>
      </c>
      <c r="D4" t="s">
        <v>9</v>
      </c>
      <c r="E4" t="s">
        <v>10</v>
      </c>
      <c r="F4" t="s">
        <v>9</v>
      </c>
      <c r="G4">
        <v>1.8880861000070499</v>
      </c>
    </row>
    <row r="5" spans="1:11" x14ac:dyDescent="0.3">
      <c r="A5">
        <v>3</v>
      </c>
      <c r="B5" t="s">
        <v>15</v>
      </c>
      <c r="C5" t="s">
        <v>12</v>
      </c>
      <c r="D5" t="s">
        <v>13</v>
      </c>
      <c r="E5" t="s">
        <v>10</v>
      </c>
      <c r="F5" t="s">
        <v>13</v>
      </c>
      <c r="G5">
        <v>0.89662959999986902</v>
      </c>
    </row>
    <row r="6" spans="1:11" x14ac:dyDescent="0.3">
      <c r="A6">
        <v>4</v>
      </c>
      <c r="B6" t="s">
        <v>16</v>
      </c>
      <c r="C6" t="s">
        <v>17</v>
      </c>
      <c r="D6" t="s">
        <v>18</v>
      </c>
      <c r="E6" t="s">
        <v>10</v>
      </c>
      <c r="F6" t="s">
        <v>18</v>
      </c>
      <c r="G6">
        <v>1.4048102999950001</v>
      </c>
    </row>
    <row r="7" spans="1:11" x14ac:dyDescent="0.3">
      <c r="A7">
        <v>5</v>
      </c>
      <c r="B7" t="s">
        <v>19</v>
      </c>
      <c r="C7" t="s">
        <v>12</v>
      </c>
      <c r="D7" t="s">
        <v>13</v>
      </c>
      <c r="E7" t="s">
        <v>10</v>
      </c>
      <c r="F7" t="s">
        <v>13</v>
      </c>
      <c r="G7">
        <v>2.0880744999885699</v>
      </c>
      <c r="I7" t="s">
        <v>93</v>
      </c>
      <c r="J7" t="s">
        <v>97</v>
      </c>
      <c r="K7" t="s">
        <v>100</v>
      </c>
    </row>
    <row r="8" spans="1:11" x14ac:dyDescent="0.3">
      <c r="A8">
        <v>6</v>
      </c>
      <c r="B8" t="s">
        <v>20</v>
      </c>
      <c r="C8" t="s">
        <v>21</v>
      </c>
      <c r="D8" t="s">
        <v>22</v>
      </c>
      <c r="E8" t="s">
        <v>10</v>
      </c>
      <c r="F8" t="s">
        <v>22</v>
      </c>
      <c r="G8">
        <v>1.00149450000026</v>
      </c>
      <c r="I8" t="s">
        <v>94</v>
      </c>
      <c r="J8">
        <f>AVERAGE(G2:G39)</f>
        <v>1.5577527263150421</v>
      </c>
      <c r="K8">
        <f>SUM(G2:G39/G2:G115)*100</f>
        <v>100</v>
      </c>
    </row>
    <row r="9" spans="1:11" x14ac:dyDescent="0.3">
      <c r="A9">
        <v>7</v>
      </c>
      <c r="B9" t="s">
        <v>23</v>
      </c>
      <c r="C9" t="s">
        <v>17</v>
      </c>
      <c r="D9" t="s">
        <v>18</v>
      </c>
      <c r="E9" t="s">
        <v>10</v>
      </c>
      <c r="F9" t="s">
        <v>18</v>
      </c>
      <c r="G9">
        <v>3.5852216000057502</v>
      </c>
      <c r="I9" t="s">
        <v>95</v>
      </c>
      <c r="J9">
        <f>AVERAGE(G40:G77)</f>
        <v>1.9866887105278037</v>
      </c>
      <c r="K9" t="e">
        <f>SUM(G40:G77/G2:G115)*100</f>
        <v>#VALUE!</v>
      </c>
    </row>
    <row r="10" spans="1:11" x14ac:dyDescent="0.3">
      <c r="A10">
        <v>8</v>
      </c>
      <c r="B10" t="s">
        <v>24</v>
      </c>
      <c r="C10" t="s">
        <v>21</v>
      </c>
      <c r="D10" t="s">
        <v>22</v>
      </c>
      <c r="E10" t="s">
        <v>10</v>
      </c>
      <c r="F10" t="s">
        <v>22</v>
      </c>
      <c r="G10">
        <v>0.87935699999798</v>
      </c>
      <c r="I10" t="s">
        <v>96</v>
      </c>
      <c r="J10">
        <f>AVERAGE(G78:G115)</f>
        <v>1.5848008605257926</v>
      </c>
      <c r="K10" t="e">
        <f>SUM(G78:G115/G2:G115)*100</f>
        <v>#VALUE!</v>
      </c>
    </row>
    <row r="11" spans="1:11" x14ac:dyDescent="0.3">
      <c r="A11">
        <v>9</v>
      </c>
      <c r="B11" t="s">
        <v>25</v>
      </c>
      <c r="C11" t="s">
        <v>21</v>
      </c>
      <c r="D11" t="s">
        <v>22</v>
      </c>
      <c r="E11" t="s">
        <v>10</v>
      </c>
      <c r="F11" t="s">
        <v>22</v>
      </c>
      <c r="G11">
        <v>1.2076218000001899</v>
      </c>
    </row>
    <row r="12" spans="1:11" x14ac:dyDescent="0.3">
      <c r="A12">
        <v>10</v>
      </c>
      <c r="B12" t="s">
        <v>26</v>
      </c>
      <c r="C12" t="s">
        <v>12</v>
      </c>
      <c r="D12" t="s">
        <v>13</v>
      </c>
      <c r="E12" t="s">
        <v>10</v>
      </c>
      <c r="F12" t="s">
        <v>13</v>
      </c>
      <c r="G12">
        <v>1.0819321000017199</v>
      </c>
    </row>
    <row r="13" spans="1:11" x14ac:dyDescent="0.3">
      <c r="A13">
        <v>11</v>
      </c>
      <c r="B13" t="s">
        <v>27</v>
      </c>
      <c r="C13" t="s">
        <v>21</v>
      </c>
      <c r="D13" t="s">
        <v>22</v>
      </c>
      <c r="E13" t="s">
        <v>10</v>
      </c>
      <c r="F13" t="s">
        <v>22</v>
      </c>
      <c r="G13">
        <v>1.8672928000014499</v>
      </c>
    </row>
    <row r="14" spans="1:11" x14ac:dyDescent="0.3">
      <c r="A14">
        <v>12</v>
      </c>
      <c r="B14" t="s">
        <v>28</v>
      </c>
      <c r="C14" t="s">
        <v>17</v>
      </c>
      <c r="D14" t="s">
        <v>18</v>
      </c>
      <c r="E14" t="s">
        <v>10</v>
      </c>
      <c r="F14" t="s">
        <v>18</v>
      </c>
      <c r="G14">
        <v>1.91575410000223</v>
      </c>
      <c r="I14" t="s">
        <v>98</v>
      </c>
      <c r="J14">
        <f>J9-J8</f>
        <v>0.42893598421276158</v>
      </c>
    </row>
    <row r="15" spans="1:11" x14ac:dyDescent="0.3">
      <c r="A15">
        <v>13</v>
      </c>
      <c r="B15" t="s">
        <v>29</v>
      </c>
      <c r="C15" t="s">
        <v>17</v>
      </c>
      <c r="D15" t="s">
        <v>18</v>
      </c>
      <c r="E15" t="s">
        <v>10</v>
      </c>
      <c r="F15" t="s">
        <v>18</v>
      </c>
      <c r="G15">
        <v>1.05759039999975</v>
      </c>
    </row>
    <row r="16" spans="1:11" x14ac:dyDescent="0.3">
      <c r="A16">
        <v>14</v>
      </c>
      <c r="B16" t="s">
        <v>30</v>
      </c>
      <c r="C16" t="s">
        <v>8</v>
      </c>
      <c r="D16" t="s">
        <v>9</v>
      </c>
      <c r="E16" t="s">
        <v>10</v>
      </c>
      <c r="F16" t="s">
        <v>9</v>
      </c>
      <c r="G16">
        <v>0.92124799999873996</v>
      </c>
      <c r="I16" t="s">
        <v>99</v>
      </c>
      <c r="J16">
        <f>J9-J10</f>
        <v>0.4018878500020111</v>
      </c>
    </row>
    <row r="17" spans="1:7" x14ac:dyDescent="0.3">
      <c r="A17">
        <v>15</v>
      </c>
      <c r="B17" t="s">
        <v>31</v>
      </c>
      <c r="C17" t="s">
        <v>8</v>
      </c>
      <c r="D17" t="s">
        <v>9</v>
      </c>
      <c r="E17" t="s">
        <v>10</v>
      </c>
      <c r="F17" t="s">
        <v>9</v>
      </c>
      <c r="G17">
        <v>1.03292740001052</v>
      </c>
    </row>
    <row r="18" spans="1:7" x14ac:dyDescent="0.3">
      <c r="A18">
        <v>16</v>
      </c>
      <c r="B18" t="s">
        <v>32</v>
      </c>
      <c r="C18" t="s">
        <v>17</v>
      </c>
      <c r="D18" t="s">
        <v>18</v>
      </c>
      <c r="E18" t="s">
        <v>10</v>
      </c>
      <c r="F18" t="s">
        <v>18</v>
      </c>
      <c r="G18">
        <v>0.92412650000187502</v>
      </c>
    </row>
    <row r="19" spans="1:7" x14ac:dyDescent="0.3">
      <c r="A19">
        <v>17</v>
      </c>
      <c r="B19" t="s">
        <v>33</v>
      </c>
      <c r="C19" t="s">
        <v>8</v>
      </c>
      <c r="D19" t="s">
        <v>9</v>
      </c>
      <c r="E19" t="s">
        <v>10</v>
      </c>
      <c r="F19" t="s">
        <v>9</v>
      </c>
      <c r="G19">
        <v>1.38795199999003</v>
      </c>
    </row>
    <row r="20" spans="1:7" x14ac:dyDescent="0.3">
      <c r="A20">
        <v>18</v>
      </c>
      <c r="B20" t="s">
        <v>34</v>
      </c>
      <c r="C20" t="s">
        <v>17</v>
      </c>
      <c r="D20" t="s">
        <v>18</v>
      </c>
      <c r="E20" t="s">
        <v>10</v>
      </c>
      <c r="F20" t="s">
        <v>18</v>
      </c>
      <c r="G20">
        <v>1.0283939999935601</v>
      </c>
    </row>
    <row r="21" spans="1:7" x14ac:dyDescent="0.3">
      <c r="A21">
        <v>19</v>
      </c>
      <c r="B21" t="s">
        <v>35</v>
      </c>
      <c r="C21" t="s">
        <v>17</v>
      </c>
      <c r="D21" t="s">
        <v>18</v>
      </c>
      <c r="E21" t="s">
        <v>10</v>
      </c>
      <c r="F21" t="s">
        <v>18</v>
      </c>
      <c r="G21">
        <v>1.99702280000201</v>
      </c>
    </row>
    <row r="22" spans="1:7" x14ac:dyDescent="0.3">
      <c r="A22">
        <v>20</v>
      </c>
      <c r="B22" t="s">
        <v>36</v>
      </c>
      <c r="C22" t="s">
        <v>8</v>
      </c>
      <c r="D22" t="s">
        <v>9</v>
      </c>
      <c r="E22" t="s">
        <v>10</v>
      </c>
      <c r="F22" t="s">
        <v>9</v>
      </c>
      <c r="G22">
        <v>1.4605465000058699</v>
      </c>
    </row>
    <row r="23" spans="1:7" x14ac:dyDescent="0.3">
      <c r="A23">
        <v>21</v>
      </c>
      <c r="B23" t="s">
        <v>37</v>
      </c>
      <c r="C23" t="s">
        <v>8</v>
      </c>
      <c r="D23" t="s">
        <v>9</v>
      </c>
      <c r="E23" t="s">
        <v>10</v>
      </c>
      <c r="F23" t="s">
        <v>9</v>
      </c>
      <c r="G23">
        <v>2.7390992000000498</v>
      </c>
    </row>
    <row r="24" spans="1:7" x14ac:dyDescent="0.3">
      <c r="A24">
        <v>22</v>
      </c>
      <c r="B24" t="s">
        <v>38</v>
      </c>
      <c r="C24" t="s">
        <v>21</v>
      </c>
      <c r="D24" t="s">
        <v>22</v>
      </c>
      <c r="E24" t="s">
        <v>10</v>
      </c>
      <c r="F24" t="s">
        <v>22</v>
      </c>
      <c r="G24">
        <v>0.82468710000102796</v>
      </c>
    </row>
    <row r="25" spans="1:7" x14ac:dyDescent="0.3">
      <c r="A25">
        <v>23</v>
      </c>
      <c r="B25" t="s">
        <v>39</v>
      </c>
      <c r="C25" t="s">
        <v>12</v>
      </c>
      <c r="D25" t="s">
        <v>13</v>
      </c>
      <c r="E25" t="s">
        <v>10</v>
      </c>
      <c r="F25" t="s">
        <v>13</v>
      </c>
      <c r="G25">
        <v>0.98384190000069704</v>
      </c>
    </row>
    <row r="26" spans="1:7" x14ac:dyDescent="0.3">
      <c r="A26">
        <v>24</v>
      </c>
      <c r="B26" t="s">
        <v>40</v>
      </c>
      <c r="C26" t="s">
        <v>8</v>
      </c>
      <c r="D26" t="s">
        <v>9</v>
      </c>
      <c r="E26" t="s">
        <v>10</v>
      </c>
      <c r="F26" t="s">
        <v>9</v>
      </c>
      <c r="G26">
        <v>1.75362800000584</v>
      </c>
    </row>
    <row r="27" spans="1:7" x14ac:dyDescent="0.3">
      <c r="A27">
        <v>25</v>
      </c>
      <c r="B27" t="s">
        <v>41</v>
      </c>
      <c r="C27" t="s">
        <v>21</v>
      </c>
      <c r="D27" t="s">
        <v>22</v>
      </c>
      <c r="E27" t="s">
        <v>10</v>
      </c>
      <c r="F27" t="s">
        <v>22</v>
      </c>
      <c r="G27">
        <v>1.4455529999977399</v>
      </c>
    </row>
    <row r="28" spans="1:7" x14ac:dyDescent="0.3">
      <c r="A28">
        <v>26</v>
      </c>
      <c r="B28" t="s">
        <v>42</v>
      </c>
      <c r="C28" t="s">
        <v>12</v>
      </c>
      <c r="D28" t="s">
        <v>13</v>
      </c>
      <c r="E28" t="s">
        <v>10</v>
      </c>
      <c r="F28" t="s">
        <v>13</v>
      </c>
      <c r="G28">
        <v>1.3743826999998401</v>
      </c>
    </row>
    <row r="29" spans="1:7" x14ac:dyDescent="0.3">
      <c r="A29">
        <v>27</v>
      </c>
      <c r="B29" t="s">
        <v>43</v>
      </c>
      <c r="C29" t="s">
        <v>21</v>
      </c>
      <c r="D29" t="s">
        <v>22</v>
      </c>
      <c r="E29" t="s">
        <v>10</v>
      </c>
      <c r="F29" t="s">
        <v>22</v>
      </c>
      <c r="G29">
        <v>1.0409649999928601</v>
      </c>
    </row>
    <row r="30" spans="1:7" x14ac:dyDescent="0.3">
      <c r="A30">
        <v>28</v>
      </c>
      <c r="B30" t="s">
        <v>44</v>
      </c>
      <c r="C30" t="s">
        <v>12</v>
      </c>
      <c r="D30" t="s">
        <v>13</v>
      </c>
      <c r="E30" t="s">
        <v>10</v>
      </c>
      <c r="F30" t="s">
        <v>13</v>
      </c>
      <c r="G30">
        <v>1.6177696999948199</v>
      </c>
    </row>
    <row r="31" spans="1:7" x14ac:dyDescent="0.3">
      <c r="A31">
        <v>29</v>
      </c>
      <c r="B31" t="s">
        <v>45</v>
      </c>
      <c r="C31" t="s">
        <v>21</v>
      </c>
      <c r="D31" t="s">
        <v>22</v>
      </c>
      <c r="E31" t="s">
        <v>10</v>
      </c>
      <c r="F31" t="s">
        <v>22</v>
      </c>
      <c r="G31">
        <v>3.3018985999951802</v>
      </c>
    </row>
    <row r="32" spans="1:7" x14ac:dyDescent="0.3">
      <c r="A32">
        <v>30</v>
      </c>
      <c r="B32" t="s">
        <v>46</v>
      </c>
      <c r="C32" t="s">
        <v>21</v>
      </c>
      <c r="D32" t="s">
        <v>22</v>
      </c>
      <c r="E32" t="s">
        <v>10</v>
      </c>
      <c r="F32" t="s">
        <v>22</v>
      </c>
      <c r="G32">
        <v>2.0491945999965502</v>
      </c>
    </row>
    <row r="33" spans="1:9" x14ac:dyDescent="0.3">
      <c r="A33">
        <v>31</v>
      </c>
      <c r="B33" t="s">
        <v>47</v>
      </c>
      <c r="C33" t="s">
        <v>8</v>
      </c>
      <c r="D33" t="s">
        <v>9</v>
      </c>
      <c r="E33" t="s">
        <v>10</v>
      </c>
      <c r="F33" t="s">
        <v>9</v>
      </c>
      <c r="G33">
        <v>1.39865519999875</v>
      </c>
    </row>
    <row r="34" spans="1:9" x14ac:dyDescent="0.3">
      <c r="A34">
        <v>32</v>
      </c>
      <c r="B34" t="s">
        <v>48</v>
      </c>
      <c r="C34" t="s">
        <v>12</v>
      </c>
      <c r="D34" t="s">
        <v>13</v>
      </c>
      <c r="E34" t="s">
        <v>10</v>
      </c>
      <c r="F34" t="s">
        <v>13</v>
      </c>
      <c r="G34">
        <v>1.161815200001</v>
      </c>
    </row>
    <row r="35" spans="1:9" x14ac:dyDescent="0.3">
      <c r="A35">
        <v>33</v>
      </c>
      <c r="B35" t="s">
        <v>49</v>
      </c>
      <c r="C35" t="s">
        <v>17</v>
      </c>
      <c r="D35" t="s">
        <v>18</v>
      </c>
      <c r="E35" t="s">
        <v>10</v>
      </c>
      <c r="F35" t="s">
        <v>18</v>
      </c>
      <c r="G35">
        <v>1.05981299999984</v>
      </c>
    </row>
    <row r="36" spans="1:9" x14ac:dyDescent="0.3">
      <c r="A36">
        <v>34</v>
      </c>
      <c r="B36" t="s">
        <v>50</v>
      </c>
      <c r="C36" t="s">
        <v>21</v>
      </c>
      <c r="D36" t="s">
        <v>22</v>
      </c>
      <c r="E36" t="s">
        <v>10</v>
      </c>
      <c r="F36" t="s">
        <v>22</v>
      </c>
      <c r="G36">
        <v>2.4435924999997898</v>
      </c>
    </row>
    <row r="37" spans="1:9" x14ac:dyDescent="0.3">
      <c r="A37">
        <v>35</v>
      </c>
      <c r="B37" t="s">
        <v>51</v>
      </c>
      <c r="C37" t="s">
        <v>8</v>
      </c>
      <c r="D37" t="s">
        <v>9</v>
      </c>
      <c r="E37" t="s">
        <v>10</v>
      </c>
      <c r="F37" t="s">
        <v>9</v>
      </c>
      <c r="G37">
        <v>1.16224999999394</v>
      </c>
    </row>
    <row r="38" spans="1:9" x14ac:dyDescent="0.3">
      <c r="A38">
        <v>36</v>
      </c>
      <c r="B38" t="s">
        <v>52</v>
      </c>
      <c r="C38" t="s">
        <v>17</v>
      </c>
      <c r="D38" t="s">
        <v>18</v>
      </c>
      <c r="E38" t="s">
        <v>10</v>
      </c>
      <c r="F38" t="s">
        <v>18</v>
      </c>
      <c r="G38">
        <v>3.9522632000007398</v>
      </c>
    </row>
    <row r="39" spans="1:9" x14ac:dyDescent="0.3">
      <c r="A39">
        <v>37</v>
      </c>
      <c r="B39" t="s">
        <v>53</v>
      </c>
      <c r="C39" t="s">
        <v>12</v>
      </c>
      <c r="D39" t="s">
        <v>13</v>
      </c>
      <c r="E39" t="s">
        <v>10</v>
      </c>
      <c r="F39" t="s">
        <v>13</v>
      </c>
      <c r="G39">
        <v>1.1018871999986</v>
      </c>
    </row>
    <row r="40" spans="1:9" x14ac:dyDescent="0.3">
      <c r="A40">
        <v>0</v>
      </c>
      <c r="B40" t="s">
        <v>54</v>
      </c>
      <c r="C40" t="s">
        <v>8</v>
      </c>
      <c r="D40" t="s">
        <v>9</v>
      </c>
      <c r="F40" t="s">
        <v>9</v>
      </c>
      <c r="G40">
        <v>1.0964242000045401</v>
      </c>
    </row>
    <row r="41" spans="1:9" x14ac:dyDescent="0.3">
      <c r="A41">
        <v>1</v>
      </c>
      <c r="B41" t="s">
        <v>55</v>
      </c>
      <c r="C41" t="s">
        <v>12</v>
      </c>
      <c r="D41" t="s">
        <v>13</v>
      </c>
      <c r="F41" t="s">
        <v>13</v>
      </c>
      <c r="G41">
        <v>0.99919039999076598</v>
      </c>
    </row>
    <row r="42" spans="1:9" x14ac:dyDescent="0.3">
      <c r="A42">
        <v>2</v>
      </c>
      <c r="B42" t="s">
        <v>56</v>
      </c>
      <c r="C42" t="s">
        <v>12</v>
      </c>
      <c r="D42" t="s">
        <v>13</v>
      </c>
      <c r="F42" t="s">
        <v>13</v>
      </c>
      <c r="G42">
        <v>1.0551301999948901</v>
      </c>
      <c r="I42">
        <f>SUM(I3:I40)</f>
        <v>0</v>
      </c>
    </row>
    <row r="43" spans="1:9" x14ac:dyDescent="0.3">
      <c r="A43">
        <v>3</v>
      </c>
      <c r="B43" t="s">
        <v>57</v>
      </c>
      <c r="C43" t="s">
        <v>8</v>
      </c>
      <c r="D43" t="s">
        <v>9</v>
      </c>
      <c r="F43" t="s">
        <v>9</v>
      </c>
      <c r="G43">
        <v>1.4524566999898501</v>
      </c>
    </row>
    <row r="44" spans="1:9" x14ac:dyDescent="0.3">
      <c r="A44">
        <v>4</v>
      </c>
      <c r="B44" t="s">
        <v>58</v>
      </c>
      <c r="C44" t="s">
        <v>8</v>
      </c>
      <c r="D44" t="s">
        <v>9</v>
      </c>
      <c r="F44" t="s">
        <v>9</v>
      </c>
      <c r="G44">
        <v>7.1755693000013698</v>
      </c>
    </row>
    <row r="45" spans="1:9" x14ac:dyDescent="0.3">
      <c r="A45">
        <v>5</v>
      </c>
      <c r="B45" t="s">
        <v>59</v>
      </c>
      <c r="C45" t="s">
        <v>12</v>
      </c>
      <c r="D45" t="s">
        <v>13</v>
      </c>
      <c r="F45" t="s">
        <v>13</v>
      </c>
      <c r="G45">
        <v>1.1602075000118901</v>
      </c>
    </row>
    <row r="46" spans="1:9" x14ac:dyDescent="0.3">
      <c r="A46">
        <v>6</v>
      </c>
      <c r="B46" t="s">
        <v>60</v>
      </c>
      <c r="C46" t="s">
        <v>21</v>
      </c>
      <c r="D46" t="s">
        <v>22</v>
      </c>
      <c r="F46" t="s">
        <v>22</v>
      </c>
      <c r="G46">
        <v>1.9049981999996799</v>
      </c>
    </row>
    <row r="47" spans="1:9" x14ac:dyDescent="0.3">
      <c r="A47">
        <v>7</v>
      </c>
      <c r="B47" t="s">
        <v>61</v>
      </c>
      <c r="C47" t="s">
        <v>21</v>
      </c>
      <c r="D47" t="s">
        <v>22</v>
      </c>
      <c r="F47" t="s">
        <v>22</v>
      </c>
      <c r="G47">
        <v>2.2984222999948498</v>
      </c>
    </row>
    <row r="48" spans="1:9" x14ac:dyDescent="0.3">
      <c r="A48">
        <v>8</v>
      </c>
      <c r="B48" t="s">
        <v>62</v>
      </c>
      <c r="C48" t="s">
        <v>21</v>
      </c>
      <c r="D48" t="s">
        <v>22</v>
      </c>
      <c r="F48" t="s">
        <v>22</v>
      </c>
      <c r="G48">
        <v>2.0229246000089902</v>
      </c>
    </row>
    <row r="49" spans="1:7" x14ac:dyDescent="0.3">
      <c r="A49">
        <v>9</v>
      </c>
      <c r="B49" t="s">
        <v>63</v>
      </c>
      <c r="C49" t="s">
        <v>21</v>
      </c>
      <c r="D49" t="s">
        <v>22</v>
      </c>
      <c r="F49" t="s">
        <v>22</v>
      </c>
      <c r="G49">
        <v>1.68645720000495</v>
      </c>
    </row>
    <row r="50" spans="1:7" x14ac:dyDescent="0.3">
      <c r="A50">
        <v>10</v>
      </c>
      <c r="B50" t="s">
        <v>64</v>
      </c>
      <c r="C50" t="s">
        <v>12</v>
      </c>
      <c r="D50" t="s">
        <v>13</v>
      </c>
      <c r="F50" t="s">
        <v>13</v>
      </c>
      <c r="G50">
        <v>1.4094080999930101</v>
      </c>
    </row>
    <row r="51" spans="1:7" x14ac:dyDescent="0.3">
      <c r="A51">
        <v>11</v>
      </c>
      <c r="B51" t="s">
        <v>65</v>
      </c>
      <c r="C51" t="s">
        <v>17</v>
      </c>
      <c r="D51" t="s">
        <v>18</v>
      </c>
      <c r="F51" t="s">
        <v>18</v>
      </c>
      <c r="G51">
        <v>2.36249210000096</v>
      </c>
    </row>
    <row r="52" spans="1:7" x14ac:dyDescent="0.3">
      <c r="A52">
        <v>12</v>
      </c>
      <c r="B52" t="s">
        <v>66</v>
      </c>
      <c r="C52" t="s">
        <v>8</v>
      </c>
      <c r="D52" t="s">
        <v>9</v>
      </c>
      <c r="F52" t="s">
        <v>9</v>
      </c>
      <c r="G52">
        <v>3.0776939000061199</v>
      </c>
    </row>
    <row r="53" spans="1:7" x14ac:dyDescent="0.3">
      <c r="A53">
        <v>13</v>
      </c>
      <c r="B53" t="s">
        <v>67</v>
      </c>
      <c r="C53" t="s">
        <v>17</v>
      </c>
      <c r="D53" t="s">
        <v>18</v>
      </c>
      <c r="F53" t="s">
        <v>18</v>
      </c>
      <c r="G53">
        <v>1.2067223000049101</v>
      </c>
    </row>
    <row r="54" spans="1:7" x14ac:dyDescent="0.3">
      <c r="A54">
        <v>14</v>
      </c>
      <c r="B54" t="s">
        <v>68</v>
      </c>
      <c r="C54" t="s">
        <v>12</v>
      </c>
      <c r="D54" t="s">
        <v>13</v>
      </c>
      <c r="F54" t="s">
        <v>13</v>
      </c>
      <c r="G54">
        <v>3.14296810000087</v>
      </c>
    </row>
    <row r="55" spans="1:7" x14ac:dyDescent="0.3">
      <c r="A55">
        <v>15</v>
      </c>
      <c r="B55" t="s">
        <v>69</v>
      </c>
      <c r="C55" t="s">
        <v>8</v>
      </c>
      <c r="D55" t="s">
        <v>9</v>
      </c>
      <c r="F55" t="s">
        <v>9</v>
      </c>
      <c r="G55">
        <v>2.4699302999942998</v>
      </c>
    </row>
    <row r="56" spans="1:7" x14ac:dyDescent="0.3">
      <c r="A56">
        <v>16</v>
      </c>
      <c r="B56" t="s">
        <v>70</v>
      </c>
      <c r="C56" t="s">
        <v>8</v>
      </c>
      <c r="D56" t="s">
        <v>9</v>
      </c>
      <c r="F56" t="s">
        <v>9</v>
      </c>
      <c r="G56">
        <v>1.1448235000134399</v>
      </c>
    </row>
    <row r="57" spans="1:7" x14ac:dyDescent="0.3">
      <c r="A57">
        <v>17</v>
      </c>
      <c r="B57" t="s">
        <v>71</v>
      </c>
      <c r="C57" t="s">
        <v>12</v>
      </c>
      <c r="D57" t="s">
        <v>13</v>
      </c>
      <c r="F57" t="s">
        <v>13</v>
      </c>
      <c r="G57">
        <v>2.4685668000019998</v>
      </c>
    </row>
    <row r="58" spans="1:7" x14ac:dyDescent="0.3">
      <c r="A58">
        <v>18</v>
      </c>
      <c r="B58" t="s">
        <v>72</v>
      </c>
      <c r="C58" t="s">
        <v>17</v>
      </c>
      <c r="D58" t="s">
        <v>18</v>
      </c>
      <c r="F58" t="s">
        <v>18</v>
      </c>
      <c r="G58">
        <v>1.1711613999941599</v>
      </c>
    </row>
    <row r="59" spans="1:7" x14ac:dyDescent="0.3">
      <c r="A59">
        <v>19</v>
      </c>
      <c r="B59" t="s">
        <v>73</v>
      </c>
      <c r="C59" t="s">
        <v>21</v>
      </c>
      <c r="D59" t="s">
        <v>22</v>
      </c>
      <c r="F59" t="s">
        <v>22</v>
      </c>
      <c r="G59">
        <v>3.3856861000094698</v>
      </c>
    </row>
    <row r="60" spans="1:7" x14ac:dyDescent="0.3">
      <c r="A60">
        <v>20</v>
      </c>
      <c r="B60" t="s">
        <v>74</v>
      </c>
      <c r="C60" t="s">
        <v>17</v>
      </c>
      <c r="D60" t="s">
        <v>18</v>
      </c>
      <c r="F60" t="s">
        <v>18</v>
      </c>
      <c r="G60">
        <v>2.5000298000086301</v>
      </c>
    </row>
    <row r="61" spans="1:7" x14ac:dyDescent="0.3">
      <c r="A61">
        <v>21</v>
      </c>
      <c r="B61" t="s">
        <v>75</v>
      </c>
      <c r="C61" t="s">
        <v>17</v>
      </c>
      <c r="D61" t="s">
        <v>18</v>
      </c>
      <c r="F61" t="s">
        <v>18</v>
      </c>
      <c r="G61">
        <v>1.0891470000060499</v>
      </c>
    </row>
    <row r="62" spans="1:7" x14ac:dyDescent="0.3">
      <c r="A62">
        <v>22</v>
      </c>
      <c r="B62" t="s">
        <v>76</v>
      </c>
      <c r="C62" t="s">
        <v>8</v>
      </c>
      <c r="D62" t="s">
        <v>9</v>
      </c>
      <c r="F62" t="s">
        <v>9</v>
      </c>
      <c r="G62">
        <v>4.3727543999993896</v>
      </c>
    </row>
    <row r="63" spans="1:7" x14ac:dyDescent="0.3">
      <c r="A63">
        <v>23</v>
      </c>
      <c r="B63" t="s">
        <v>77</v>
      </c>
      <c r="C63" t="s">
        <v>17</v>
      </c>
      <c r="D63" t="s">
        <v>18</v>
      </c>
      <c r="F63" t="s">
        <v>18</v>
      </c>
      <c r="G63">
        <v>2.0605633000086501</v>
      </c>
    </row>
    <row r="64" spans="1:7" x14ac:dyDescent="0.3">
      <c r="A64">
        <v>24</v>
      </c>
      <c r="B64" t="s">
        <v>78</v>
      </c>
      <c r="C64" t="s">
        <v>21</v>
      </c>
      <c r="D64" t="s">
        <v>22</v>
      </c>
      <c r="F64" t="s">
        <v>22</v>
      </c>
      <c r="G64">
        <v>1.2249655000050499</v>
      </c>
    </row>
    <row r="65" spans="1:7" x14ac:dyDescent="0.3">
      <c r="A65">
        <v>25</v>
      </c>
      <c r="B65" t="s">
        <v>79</v>
      </c>
      <c r="C65" t="s">
        <v>8</v>
      </c>
      <c r="D65" t="s">
        <v>9</v>
      </c>
      <c r="F65" t="s">
        <v>9</v>
      </c>
      <c r="G65">
        <v>0.94099510001251396</v>
      </c>
    </row>
    <row r="66" spans="1:7" x14ac:dyDescent="0.3">
      <c r="A66">
        <v>26</v>
      </c>
      <c r="B66" t="s">
        <v>80</v>
      </c>
      <c r="C66" t="s">
        <v>17</v>
      </c>
      <c r="D66" t="s">
        <v>18</v>
      </c>
      <c r="F66" t="s">
        <v>18</v>
      </c>
      <c r="G66">
        <v>1.90743599999404</v>
      </c>
    </row>
    <row r="67" spans="1:7" x14ac:dyDescent="0.3">
      <c r="A67">
        <v>27</v>
      </c>
      <c r="B67" t="s">
        <v>81</v>
      </c>
      <c r="C67" t="s">
        <v>21</v>
      </c>
      <c r="D67" t="s">
        <v>22</v>
      </c>
      <c r="F67" t="s">
        <v>22</v>
      </c>
      <c r="G67">
        <v>0.85889239999232803</v>
      </c>
    </row>
    <row r="68" spans="1:7" x14ac:dyDescent="0.3">
      <c r="A68">
        <v>28</v>
      </c>
      <c r="B68" t="s">
        <v>82</v>
      </c>
      <c r="C68" t="s">
        <v>12</v>
      </c>
      <c r="D68" t="s">
        <v>13</v>
      </c>
      <c r="F68" t="s">
        <v>13</v>
      </c>
      <c r="G68">
        <v>2.22005609999177</v>
      </c>
    </row>
    <row r="69" spans="1:7" x14ac:dyDescent="0.3">
      <c r="A69">
        <v>29</v>
      </c>
      <c r="B69" t="s">
        <v>83</v>
      </c>
      <c r="C69" t="s">
        <v>17</v>
      </c>
      <c r="D69" t="s">
        <v>18</v>
      </c>
      <c r="F69" t="s">
        <v>18</v>
      </c>
      <c r="G69">
        <v>1.54459100001258</v>
      </c>
    </row>
    <row r="70" spans="1:7" x14ac:dyDescent="0.3">
      <c r="A70">
        <v>30</v>
      </c>
      <c r="B70" t="s">
        <v>84</v>
      </c>
      <c r="C70" t="s">
        <v>21</v>
      </c>
      <c r="D70" t="s">
        <v>22</v>
      </c>
      <c r="F70" t="s">
        <v>22</v>
      </c>
      <c r="G70">
        <v>1.05037830000219</v>
      </c>
    </row>
    <row r="71" spans="1:7" x14ac:dyDescent="0.3">
      <c r="A71">
        <v>31</v>
      </c>
      <c r="B71" t="s">
        <v>85</v>
      </c>
      <c r="C71" t="s">
        <v>21</v>
      </c>
      <c r="D71" t="s">
        <v>22</v>
      </c>
      <c r="F71" t="s">
        <v>22</v>
      </c>
      <c r="G71">
        <v>1.68088089999218</v>
      </c>
    </row>
    <row r="72" spans="1:7" x14ac:dyDescent="0.3">
      <c r="A72">
        <v>32</v>
      </c>
      <c r="B72" t="s">
        <v>86</v>
      </c>
      <c r="C72" t="s">
        <v>8</v>
      </c>
      <c r="D72" t="s">
        <v>9</v>
      </c>
      <c r="F72" t="s">
        <v>9</v>
      </c>
      <c r="G72">
        <v>0.91608230001293101</v>
      </c>
    </row>
    <row r="73" spans="1:7" x14ac:dyDescent="0.3">
      <c r="A73">
        <v>33</v>
      </c>
      <c r="B73" t="s">
        <v>87</v>
      </c>
      <c r="C73" t="s">
        <v>12</v>
      </c>
      <c r="D73" t="s">
        <v>13</v>
      </c>
      <c r="F73" t="s">
        <v>13</v>
      </c>
      <c r="G73">
        <v>2.6753775999968599</v>
      </c>
    </row>
    <row r="74" spans="1:7" x14ac:dyDescent="0.3">
      <c r="A74">
        <v>34</v>
      </c>
      <c r="B74" t="s">
        <v>88</v>
      </c>
      <c r="C74" t="s">
        <v>21</v>
      </c>
      <c r="D74" t="s">
        <v>22</v>
      </c>
      <c r="F74" t="s">
        <v>22</v>
      </c>
      <c r="G74">
        <v>3.2044429000088699</v>
      </c>
    </row>
    <row r="75" spans="1:7" x14ac:dyDescent="0.3">
      <c r="A75">
        <v>35</v>
      </c>
      <c r="B75" t="s">
        <v>89</v>
      </c>
      <c r="C75" t="s">
        <v>8</v>
      </c>
      <c r="D75" t="s">
        <v>9</v>
      </c>
      <c r="F75" t="s">
        <v>9</v>
      </c>
      <c r="G75">
        <v>0.97544560000824199</v>
      </c>
    </row>
    <row r="76" spans="1:7" x14ac:dyDescent="0.3">
      <c r="A76">
        <v>36</v>
      </c>
      <c r="B76" t="s">
        <v>90</v>
      </c>
      <c r="C76" t="s">
        <v>17</v>
      </c>
      <c r="D76" t="s">
        <v>18</v>
      </c>
      <c r="F76" t="s">
        <v>18</v>
      </c>
      <c r="G76">
        <v>0.95719809998990901</v>
      </c>
    </row>
    <row r="77" spans="1:7" x14ac:dyDescent="0.3">
      <c r="A77">
        <v>37</v>
      </c>
      <c r="B77" t="s">
        <v>91</v>
      </c>
      <c r="C77" t="s">
        <v>12</v>
      </c>
      <c r="D77" t="s">
        <v>13</v>
      </c>
      <c r="F77" t="s">
        <v>13</v>
      </c>
      <c r="G77">
        <v>2.6237014999933299</v>
      </c>
    </row>
    <row r="78" spans="1:7" x14ac:dyDescent="0.3">
      <c r="A78">
        <v>0</v>
      </c>
      <c r="B78" t="s">
        <v>47</v>
      </c>
      <c r="C78" t="s">
        <v>8</v>
      </c>
      <c r="D78" t="s">
        <v>9</v>
      </c>
      <c r="F78" t="s">
        <v>9</v>
      </c>
      <c r="G78">
        <v>0.97035030000001399</v>
      </c>
    </row>
    <row r="79" spans="1:7" x14ac:dyDescent="0.3">
      <c r="A79">
        <v>1</v>
      </c>
      <c r="B79" t="s">
        <v>26</v>
      </c>
      <c r="C79" t="s">
        <v>12</v>
      </c>
      <c r="D79" t="s">
        <v>13</v>
      </c>
      <c r="F79" t="s">
        <v>13</v>
      </c>
      <c r="G79">
        <v>1.24600590000045</v>
      </c>
    </row>
    <row r="80" spans="1:7" x14ac:dyDescent="0.3">
      <c r="A80">
        <v>2</v>
      </c>
      <c r="B80" t="s">
        <v>24</v>
      </c>
      <c r="C80" t="s">
        <v>21</v>
      </c>
      <c r="D80" t="s">
        <v>22</v>
      </c>
      <c r="F80" t="s">
        <v>22</v>
      </c>
      <c r="G80">
        <v>1.90606160000606</v>
      </c>
    </row>
    <row r="81" spans="1:7" x14ac:dyDescent="0.3">
      <c r="A81">
        <v>3</v>
      </c>
      <c r="B81" t="s">
        <v>48</v>
      </c>
      <c r="C81" t="s">
        <v>12</v>
      </c>
      <c r="D81" t="s">
        <v>13</v>
      </c>
      <c r="F81" t="s">
        <v>13</v>
      </c>
      <c r="G81">
        <v>4.2568960999924403</v>
      </c>
    </row>
    <row r="82" spans="1:7" x14ac:dyDescent="0.3">
      <c r="A82">
        <v>4</v>
      </c>
      <c r="B82" t="s">
        <v>92</v>
      </c>
      <c r="C82" t="s">
        <v>17</v>
      </c>
      <c r="D82" t="s">
        <v>18</v>
      </c>
      <c r="F82" t="s">
        <v>18</v>
      </c>
      <c r="G82">
        <v>2.0728767000109598</v>
      </c>
    </row>
    <row r="83" spans="1:7" x14ac:dyDescent="0.3">
      <c r="A83">
        <v>5</v>
      </c>
      <c r="B83" t="s">
        <v>14</v>
      </c>
      <c r="C83" t="s">
        <v>8</v>
      </c>
      <c r="D83" t="s">
        <v>9</v>
      </c>
      <c r="F83" t="s">
        <v>9</v>
      </c>
      <c r="G83">
        <v>1.57242170000972</v>
      </c>
    </row>
    <row r="84" spans="1:7" x14ac:dyDescent="0.3">
      <c r="A84">
        <v>6</v>
      </c>
      <c r="B84" t="s">
        <v>35</v>
      </c>
      <c r="C84" t="s">
        <v>17</v>
      </c>
      <c r="D84" t="s">
        <v>18</v>
      </c>
      <c r="F84" t="s">
        <v>18</v>
      </c>
      <c r="G84">
        <v>2.3029590999940401</v>
      </c>
    </row>
    <row r="85" spans="1:7" x14ac:dyDescent="0.3">
      <c r="A85">
        <v>7</v>
      </c>
      <c r="B85" t="s">
        <v>41</v>
      </c>
      <c r="C85" t="s">
        <v>21</v>
      </c>
      <c r="D85" t="s">
        <v>22</v>
      </c>
      <c r="F85" t="s">
        <v>22</v>
      </c>
      <c r="G85">
        <v>1.5451876000006399</v>
      </c>
    </row>
    <row r="86" spans="1:7" x14ac:dyDescent="0.3">
      <c r="A86">
        <v>8</v>
      </c>
      <c r="B86" t="s">
        <v>49</v>
      </c>
      <c r="C86" t="s">
        <v>17</v>
      </c>
      <c r="D86" t="s">
        <v>18</v>
      </c>
      <c r="F86" t="s">
        <v>18</v>
      </c>
      <c r="G86">
        <v>1.2586762999999299</v>
      </c>
    </row>
    <row r="87" spans="1:7" x14ac:dyDescent="0.3">
      <c r="A87">
        <v>9</v>
      </c>
      <c r="B87" t="s">
        <v>43</v>
      </c>
      <c r="C87" t="s">
        <v>21</v>
      </c>
      <c r="D87" t="s">
        <v>22</v>
      </c>
      <c r="F87" t="s">
        <v>22</v>
      </c>
      <c r="G87">
        <v>1.31181030000152</v>
      </c>
    </row>
    <row r="88" spans="1:7" x14ac:dyDescent="0.3">
      <c r="A88">
        <v>10</v>
      </c>
      <c r="B88" t="s">
        <v>50</v>
      </c>
      <c r="C88" t="s">
        <v>21</v>
      </c>
      <c r="D88" t="s">
        <v>22</v>
      </c>
      <c r="F88" t="s">
        <v>22</v>
      </c>
      <c r="G88">
        <v>0.83562579999852404</v>
      </c>
    </row>
    <row r="89" spans="1:7" x14ac:dyDescent="0.3">
      <c r="A89">
        <v>11</v>
      </c>
      <c r="B89" t="s">
        <v>38</v>
      </c>
      <c r="C89" t="s">
        <v>21</v>
      </c>
      <c r="D89" t="s">
        <v>22</v>
      </c>
      <c r="F89" t="s">
        <v>22</v>
      </c>
      <c r="G89">
        <v>0.69777309999335502</v>
      </c>
    </row>
    <row r="90" spans="1:7" x14ac:dyDescent="0.3">
      <c r="A90">
        <v>12</v>
      </c>
      <c r="B90" t="s">
        <v>15</v>
      </c>
      <c r="C90" t="s">
        <v>12</v>
      </c>
      <c r="D90" t="s">
        <v>13</v>
      </c>
      <c r="F90" t="s">
        <v>13</v>
      </c>
      <c r="G90">
        <v>4.8348276000033303</v>
      </c>
    </row>
    <row r="91" spans="1:7" x14ac:dyDescent="0.3">
      <c r="A91">
        <v>13</v>
      </c>
      <c r="B91" t="s">
        <v>45</v>
      </c>
      <c r="C91" t="s">
        <v>21</v>
      </c>
      <c r="D91" t="s">
        <v>22</v>
      </c>
      <c r="F91" t="s">
        <v>22</v>
      </c>
      <c r="G91">
        <v>1.5720599999913201</v>
      </c>
    </row>
    <row r="92" spans="1:7" x14ac:dyDescent="0.3">
      <c r="A92">
        <v>14</v>
      </c>
      <c r="B92" t="s">
        <v>34</v>
      </c>
      <c r="C92" t="s">
        <v>17</v>
      </c>
      <c r="D92" t="s">
        <v>18</v>
      </c>
      <c r="F92" t="s">
        <v>18</v>
      </c>
      <c r="G92">
        <v>1.4022180000029001</v>
      </c>
    </row>
    <row r="93" spans="1:7" x14ac:dyDescent="0.3">
      <c r="A93">
        <v>15</v>
      </c>
      <c r="B93" t="s">
        <v>23</v>
      </c>
      <c r="C93" t="s">
        <v>17</v>
      </c>
      <c r="D93" t="s">
        <v>18</v>
      </c>
      <c r="F93" t="s">
        <v>18</v>
      </c>
      <c r="G93">
        <v>1.4546688999980599</v>
      </c>
    </row>
    <row r="94" spans="1:7" x14ac:dyDescent="0.3">
      <c r="A94">
        <v>16</v>
      </c>
      <c r="B94" t="s">
        <v>36</v>
      </c>
      <c r="C94" t="s">
        <v>8</v>
      </c>
      <c r="D94" t="s">
        <v>9</v>
      </c>
      <c r="F94" t="s">
        <v>9</v>
      </c>
      <c r="G94">
        <v>2.5035471000010099</v>
      </c>
    </row>
    <row r="95" spans="1:7" x14ac:dyDescent="0.3">
      <c r="A95">
        <v>17</v>
      </c>
      <c r="B95" t="s">
        <v>42</v>
      </c>
      <c r="C95" t="s">
        <v>12</v>
      </c>
      <c r="D95" t="s">
        <v>13</v>
      </c>
      <c r="F95" t="s">
        <v>13</v>
      </c>
      <c r="G95">
        <v>1.1043841000064201</v>
      </c>
    </row>
    <row r="96" spans="1:7" x14ac:dyDescent="0.3">
      <c r="A96">
        <v>18</v>
      </c>
      <c r="B96" t="s">
        <v>37</v>
      </c>
      <c r="C96" t="s">
        <v>8</v>
      </c>
      <c r="D96" t="s">
        <v>9</v>
      </c>
      <c r="F96" t="s">
        <v>9</v>
      </c>
      <c r="G96">
        <v>0.91861719998996705</v>
      </c>
    </row>
    <row r="97" spans="1:7" x14ac:dyDescent="0.3">
      <c r="A97">
        <v>19</v>
      </c>
      <c r="B97" t="s">
        <v>40</v>
      </c>
      <c r="C97" t="s">
        <v>8</v>
      </c>
      <c r="D97" t="s">
        <v>9</v>
      </c>
      <c r="F97" t="s">
        <v>9</v>
      </c>
      <c r="G97">
        <v>0.86280640000768405</v>
      </c>
    </row>
    <row r="98" spans="1:7" x14ac:dyDescent="0.3">
      <c r="A98">
        <v>20</v>
      </c>
      <c r="B98" t="s">
        <v>30</v>
      </c>
      <c r="C98" t="s">
        <v>8</v>
      </c>
      <c r="D98" t="s">
        <v>9</v>
      </c>
      <c r="F98" t="s">
        <v>9</v>
      </c>
      <c r="G98">
        <v>0.78612839999550399</v>
      </c>
    </row>
    <row r="99" spans="1:7" x14ac:dyDescent="0.3">
      <c r="A99">
        <v>21</v>
      </c>
      <c r="B99" t="s">
        <v>27</v>
      </c>
      <c r="C99" t="s">
        <v>21</v>
      </c>
      <c r="D99" t="s">
        <v>22</v>
      </c>
      <c r="F99" t="s">
        <v>22</v>
      </c>
      <c r="G99">
        <v>1.71546939999097</v>
      </c>
    </row>
    <row r="100" spans="1:7" x14ac:dyDescent="0.3">
      <c r="A100">
        <v>22</v>
      </c>
      <c r="B100" t="s">
        <v>32</v>
      </c>
      <c r="C100" t="s">
        <v>17</v>
      </c>
      <c r="D100" t="s">
        <v>18</v>
      </c>
      <c r="F100" t="s">
        <v>18</v>
      </c>
      <c r="G100">
        <v>3.212123099991</v>
      </c>
    </row>
    <row r="101" spans="1:7" x14ac:dyDescent="0.3">
      <c r="A101">
        <v>23</v>
      </c>
      <c r="B101" t="s">
        <v>20</v>
      </c>
      <c r="C101" t="s">
        <v>21</v>
      </c>
      <c r="D101" t="s">
        <v>22</v>
      </c>
      <c r="F101" t="s">
        <v>22</v>
      </c>
      <c r="G101">
        <v>0.91473409999161903</v>
      </c>
    </row>
    <row r="102" spans="1:7" x14ac:dyDescent="0.3">
      <c r="A102">
        <v>24</v>
      </c>
      <c r="B102" t="s">
        <v>53</v>
      </c>
      <c r="C102" t="s">
        <v>12</v>
      </c>
      <c r="D102" t="s">
        <v>13</v>
      </c>
      <c r="F102" t="s">
        <v>13</v>
      </c>
      <c r="G102">
        <v>1.0009062000026401</v>
      </c>
    </row>
    <row r="103" spans="1:7" x14ac:dyDescent="0.3">
      <c r="A103">
        <v>25</v>
      </c>
      <c r="B103" t="s">
        <v>46</v>
      </c>
      <c r="C103" t="s">
        <v>21</v>
      </c>
      <c r="D103" t="s">
        <v>22</v>
      </c>
      <c r="F103" t="s">
        <v>22</v>
      </c>
      <c r="G103">
        <v>1.3137428000045399</v>
      </c>
    </row>
    <row r="104" spans="1:7" x14ac:dyDescent="0.3">
      <c r="A104">
        <v>26</v>
      </c>
      <c r="B104" t="s">
        <v>29</v>
      </c>
      <c r="C104" t="s">
        <v>17</v>
      </c>
      <c r="D104" t="s">
        <v>18</v>
      </c>
      <c r="F104" t="s">
        <v>18</v>
      </c>
      <c r="G104">
        <v>1.2906345999945099</v>
      </c>
    </row>
    <row r="105" spans="1:7" x14ac:dyDescent="0.3">
      <c r="A105">
        <v>27</v>
      </c>
      <c r="B105" t="s">
        <v>16</v>
      </c>
      <c r="C105" t="s">
        <v>17</v>
      </c>
      <c r="D105" t="s">
        <v>18</v>
      </c>
      <c r="F105" t="s">
        <v>18</v>
      </c>
      <c r="G105">
        <v>0.99816849999478996</v>
      </c>
    </row>
    <row r="106" spans="1:7" x14ac:dyDescent="0.3">
      <c r="A106">
        <v>28</v>
      </c>
      <c r="B106" t="s">
        <v>33</v>
      </c>
      <c r="C106" t="s">
        <v>8</v>
      </c>
      <c r="D106" t="s">
        <v>9</v>
      </c>
      <c r="F106" t="s">
        <v>9</v>
      </c>
      <c r="G106">
        <v>1.2202973999956099</v>
      </c>
    </row>
    <row r="107" spans="1:7" x14ac:dyDescent="0.3">
      <c r="A107">
        <v>29</v>
      </c>
      <c r="B107" t="s">
        <v>44</v>
      </c>
      <c r="C107" t="s">
        <v>12</v>
      </c>
      <c r="D107" t="s">
        <v>13</v>
      </c>
      <c r="F107" t="s">
        <v>13</v>
      </c>
      <c r="G107">
        <v>1.1107779000012601</v>
      </c>
    </row>
    <row r="108" spans="1:7" x14ac:dyDescent="0.3">
      <c r="A108">
        <v>30</v>
      </c>
      <c r="B108" t="s">
        <v>52</v>
      </c>
      <c r="C108" t="s">
        <v>17</v>
      </c>
      <c r="D108" t="s">
        <v>18</v>
      </c>
      <c r="F108" t="s">
        <v>18</v>
      </c>
      <c r="G108">
        <v>1.56393469999602</v>
      </c>
    </row>
    <row r="109" spans="1:7" x14ac:dyDescent="0.3">
      <c r="A109">
        <v>31</v>
      </c>
      <c r="B109" t="s">
        <v>7</v>
      </c>
      <c r="C109" t="s">
        <v>8</v>
      </c>
      <c r="D109" t="s">
        <v>9</v>
      </c>
      <c r="F109" t="s">
        <v>9</v>
      </c>
      <c r="G109">
        <v>1.3865354000008601</v>
      </c>
    </row>
    <row r="110" spans="1:7" x14ac:dyDescent="0.3">
      <c r="A110">
        <v>32</v>
      </c>
      <c r="B110" t="s">
        <v>11</v>
      </c>
      <c r="C110" t="s">
        <v>12</v>
      </c>
      <c r="D110" t="s">
        <v>13</v>
      </c>
      <c r="F110" t="s">
        <v>18</v>
      </c>
      <c r="G110">
        <v>2.1298572000087002</v>
      </c>
    </row>
    <row r="111" spans="1:7" x14ac:dyDescent="0.3">
      <c r="A111">
        <v>33</v>
      </c>
      <c r="B111" t="s">
        <v>25</v>
      </c>
      <c r="C111" t="s">
        <v>21</v>
      </c>
      <c r="D111" t="s">
        <v>22</v>
      </c>
      <c r="F111" t="s">
        <v>22</v>
      </c>
      <c r="G111">
        <v>1.1399233999982199</v>
      </c>
    </row>
    <row r="112" spans="1:7" x14ac:dyDescent="0.3">
      <c r="A112">
        <v>34</v>
      </c>
      <c r="B112" t="s">
        <v>39</v>
      </c>
      <c r="C112" t="s">
        <v>12</v>
      </c>
      <c r="D112" t="s">
        <v>13</v>
      </c>
      <c r="F112" t="s">
        <v>13</v>
      </c>
      <c r="G112">
        <v>1.2008275999978599</v>
      </c>
    </row>
    <row r="113" spans="1:7" x14ac:dyDescent="0.3">
      <c r="A113">
        <v>35</v>
      </c>
      <c r="B113" t="s">
        <v>31</v>
      </c>
      <c r="C113" t="s">
        <v>8</v>
      </c>
      <c r="D113" t="s">
        <v>9</v>
      </c>
      <c r="F113" t="s">
        <v>9</v>
      </c>
      <c r="G113">
        <v>1.49236800000653</v>
      </c>
    </row>
    <row r="114" spans="1:7" x14ac:dyDescent="0.3">
      <c r="A114">
        <v>36</v>
      </c>
      <c r="B114" t="s">
        <v>19</v>
      </c>
      <c r="C114" t="s">
        <v>12</v>
      </c>
      <c r="D114" t="s">
        <v>13</v>
      </c>
      <c r="F114" t="s">
        <v>13</v>
      </c>
      <c r="G114">
        <v>2.0704333000030601</v>
      </c>
    </row>
    <row r="115" spans="1:7" x14ac:dyDescent="0.3">
      <c r="A115">
        <v>37</v>
      </c>
      <c r="B115" t="s">
        <v>51</v>
      </c>
      <c r="C115" t="s">
        <v>8</v>
      </c>
      <c r="D115" t="s">
        <v>9</v>
      </c>
      <c r="F115" t="s">
        <v>9</v>
      </c>
      <c r="G115">
        <v>1.04579689999809</v>
      </c>
    </row>
    <row r="116" spans="1:7" x14ac:dyDescent="0.3">
      <c r="A116">
        <v>0</v>
      </c>
    </row>
    <row r="117" spans="1:7" x14ac:dyDescent="0.3">
      <c r="A1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tabSelected="1" topLeftCell="C1" workbookViewId="0">
      <selection activeCell="L21" sqref="L2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101</v>
      </c>
      <c r="E1" t="s">
        <v>4</v>
      </c>
      <c r="F1" t="s">
        <v>5</v>
      </c>
      <c r="G1" t="s">
        <v>102</v>
      </c>
      <c r="H1" t="s">
        <v>6</v>
      </c>
    </row>
    <row r="3" spans="1:12" x14ac:dyDescent="0.3">
      <c r="A3">
        <v>0</v>
      </c>
      <c r="B3" t="s">
        <v>23</v>
      </c>
      <c r="C3" t="s">
        <v>17</v>
      </c>
      <c r="D3" t="s">
        <v>18</v>
      </c>
      <c r="E3" t="s">
        <v>10</v>
      </c>
      <c r="F3" t="s">
        <v>18</v>
      </c>
      <c r="G3">
        <v>1</v>
      </c>
      <c r="H3">
        <v>1.34404779999749</v>
      </c>
    </row>
    <row r="4" spans="1:12" x14ac:dyDescent="0.3">
      <c r="A4">
        <v>1</v>
      </c>
      <c r="B4" t="s">
        <v>39</v>
      </c>
      <c r="C4" t="s">
        <v>12</v>
      </c>
      <c r="D4" t="s">
        <v>13</v>
      </c>
      <c r="E4" t="s">
        <v>10</v>
      </c>
      <c r="F4" t="s">
        <v>13</v>
      </c>
      <c r="G4">
        <v>1</v>
      </c>
      <c r="H4">
        <v>1.0859988000011001</v>
      </c>
    </row>
    <row r="5" spans="1:12" x14ac:dyDescent="0.3">
      <c r="A5">
        <v>2</v>
      </c>
      <c r="B5" t="s">
        <v>43</v>
      </c>
      <c r="C5" t="s">
        <v>21</v>
      </c>
      <c r="D5" t="s">
        <v>22</v>
      </c>
      <c r="E5" t="s">
        <v>10</v>
      </c>
      <c r="F5" t="s">
        <v>22</v>
      </c>
      <c r="G5">
        <v>1</v>
      </c>
      <c r="H5">
        <v>2.1271904999739402</v>
      </c>
    </row>
    <row r="6" spans="1:12" x14ac:dyDescent="0.3">
      <c r="A6">
        <v>3</v>
      </c>
      <c r="B6" t="s">
        <v>14</v>
      </c>
      <c r="C6" t="s">
        <v>8</v>
      </c>
      <c r="D6" t="s">
        <v>9</v>
      </c>
      <c r="E6" t="s">
        <v>10</v>
      </c>
      <c r="F6" t="s">
        <v>9</v>
      </c>
      <c r="G6">
        <v>1</v>
      </c>
      <c r="H6">
        <v>4.0342005999991599</v>
      </c>
    </row>
    <row r="7" spans="1:12" x14ac:dyDescent="0.3">
      <c r="A7">
        <v>4</v>
      </c>
      <c r="B7" t="s">
        <v>30</v>
      </c>
      <c r="C7" t="s">
        <v>8</v>
      </c>
      <c r="D7" t="s">
        <v>9</v>
      </c>
      <c r="E7" t="s">
        <v>10</v>
      </c>
      <c r="F7" t="s">
        <v>9</v>
      </c>
      <c r="G7">
        <v>1</v>
      </c>
      <c r="H7">
        <v>4.3450379999994704</v>
      </c>
    </row>
    <row r="8" spans="1:12" x14ac:dyDescent="0.3">
      <c r="A8">
        <v>5</v>
      </c>
      <c r="B8" t="s">
        <v>25</v>
      </c>
      <c r="C8" t="s">
        <v>21</v>
      </c>
      <c r="D8" t="s">
        <v>22</v>
      </c>
      <c r="E8" t="s">
        <v>10</v>
      </c>
      <c r="F8" t="s">
        <v>22</v>
      </c>
      <c r="G8">
        <v>1</v>
      </c>
      <c r="H8">
        <v>0.77663840001332496</v>
      </c>
    </row>
    <row r="9" spans="1:12" x14ac:dyDescent="0.3">
      <c r="A9">
        <v>6</v>
      </c>
      <c r="B9" t="s">
        <v>11</v>
      </c>
      <c r="C9" t="s">
        <v>12</v>
      </c>
      <c r="D9" t="s">
        <v>13</v>
      </c>
      <c r="E9" t="s">
        <v>10</v>
      </c>
      <c r="F9" t="s">
        <v>13</v>
      </c>
      <c r="G9">
        <v>1</v>
      </c>
      <c r="H9">
        <v>3.0859590999898501</v>
      </c>
    </row>
    <row r="10" spans="1:12" x14ac:dyDescent="0.3">
      <c r="A10">
        <v>7</v>
      </c>
      <c r="B10" t="s">
        <v>53</v>
      </c>
      <c r="C10" t="s">
        <v>12</v>
      </c>
      <c r="D10" t="s">
        <v>13</v>
      </c>
      <c r="E10" t="s">
        <v>10</v>
      </c>
      <c r="F10" t="s">
        <v>13</v>
      </c>
      <c r="G10">
        <v>1</v>
      </c>
      <c r="H10">
        <v>1.1571153999830099</v>
      </c>
    </row>
    <row r="11" spans="1:12" x14ac:dyDescent="0.3">
      <c r="A11">
        <v>8</v>
      </c>
      <c r="B11" t="s">
        <v>47</v>
      </c>
      <c r="C11" t="s">
        <v>8</v>
      </c>
      <c r="D11" t="s">
        <v>9</v>
      </c>
      <c r="E11" t="s">
        <v>10</v>
      </c>
      <c r="F11" t="s">
        <v>9</v>
      </c>
      <c r="G11">
        <v>1</v>
      </c>
      <c r="H11">
        <v>1.5235343000094801</v>
      </c>
    </row>
    <row r="12" spans="1:12" x14ac:dyDescent="0.3">
      <c r="A12">
        <v>9</v>
      </c>
      <c r="B12" t="s">
        <v>52</v>
      </c>
      <c r="C12" t="s">
        <v>17</v>
      </c>
      <c r="D12" t="s">
        <v>18</v>
      </c>
      <c r="E12" t="s">
        <v>10</v>
      </c>
      <c r="F12" t="s">
        <v>18</v>
      </c>
      <c r="G12">
        <v>1</v>
      </c>
      <c r="H12">
        <v>1.70604270001058</v>
      </c>
      <c r="J12" t="s">
        <v>93</v>
      </c>
      <c r="K12" t="s">
        <v>97</v>
      </c>
    </row>
    <row r="13" spans="1:12" x14ac:dyDescent="0.3">
      <c r="A13">
        <v>10</v>
      </c>
      <c r="B13" t="s">
        <v>41</v>
      </c>
      <c r="C13" t="s">
        <v>21</v>
      </c>
      <c r="D13" t="s">
        <v>22</v>
      </c>
      <c r="E13" t="s">
        <v>10</v>
      </c>
      <c r="F13" t="s">
        <v>22</v>
      </c>
      <c r="G13">
        <v>1</v>
      </c>
      <c r="H13">
        <v>2.0428440000105099</v>
      </c>
      <c r="J13" t="s">
        <v>94</v>
      </c>
      <c r="K13">
        <f>AVERAGE(H3:H40)</f>
        <v>1.8564195368449656</v>
      </c>
    </row>
    <row r="14" spans="1:12" x14ac:dyDescent="0.3">
      <c r="A14">
        <v>11</v>
      </c>
      <c r="B14" t="s">
        <v>45</v>
      </c>
      <c r="C14" t="s">
        <v>21</v>
      </c>
      <c r="D14" t="s">
        <v>22</v>
      </c>
      <c r="E14" t="s">
        <v>10</v>
      </c>
      <c r="F14" t="s">
        <v>22</v>
      </c>
      <c r="G14">
        <v>1</v>
      </c>
      <c r="H14">
        <v>3.0651855999894901</v>
      </c>
      <c r="J14" t="s">
        <v>95</v>
      </c>
      <c r="K14">
        <f>AVERAGE(H42:H79)</f>
        <v>1.8885813973695413</v>
      </c>
    </row>
    <row r="15" spans="1:12" x14ac:dyDescent="0.3">
      <c r="A15">
        <v>12</v>
      </c>
      <c r="B15" t="s">
        <v>29</v>
      </c>
      <c r="C15" t="s">
        <v>17</v>
      </c>
      <c r="D15" t="s">
        <v>18</v>
      </c>
      <c r="E15" t="s">
        <v>10</v>
      </c>
      <c r="F15" t="s">
        <v>18</v>
      </c>
      <c r="G15">
        <v>1</v>
      </c>
      <c r="H15">
        <v>0.87295449999510299</v>
      </c>
      <c r="J15" t="s">
        <v>96</v>
      </c>
      <c r="K15">
        <f>AVERAGE(H81:H118)</f>
        <v>1.3573018894745246</v>
      </c>
      <c r="L15">
        <f>AVERAGE(H81:H118)</f>
        <v>1.3573018894745246</v>
      </c>
    </row>
    <row r="16" spans="1:12" x14ac:dyDescent="0.3">
      <c r="A16">
        <v>13</v>
      </c>
      <c r="B16" t="s">
        <v>35</v>
      </c>
      <c r="C16" t="s">
        <v>17</v>
      </c>
      <c r="D16" t="s">
        <v>18</v>
      </c>
      <c r="E16" t="s">
        <v>10</v>
      </c>
      <c r="F16" t="s">
        <v>18</v>
      </c>
      <c r="G16">
        <v>1</v>
      </c>
      <c r="H16">
        <v>0.76071530001354404</v>
      </c>
    </row>
    <row r="17" spans="1:14" x14ac:dyDescent="0.3">
      <c r="A17">
        <v>14</v>
      </c>
      <c r="B17" t="s">
        <v>46</v>
      </c>
      <c r="C17" t="s">
        <v>21</v>
      </c>
      <c r="D17" t="s">
        <v>22</v>
      </c>
      <c r="E17" t="s">
        <v>10</v>
      </c>
      <c r="F17" t="s">
        <v>22</v>
      </c>
      <c r="G17">
        <v>1</v>
      </c>
      <c r="H17">
        <v>2.1779850000166299</v>
      </c>
    </row>
    <row r="18" spans="1:14" x14ac:dyDescent="0.3">
      <c r="A18">
        <v>15</v>
      </c>
      <c r="B18" t="s">
        <v>51</v>
      </c>
      <c r="C18" t="s">
        <v>8</v>
      </c>
      <c r="D18" t="s">
        <v>9</v>
      </c>
      <c r="E18" t="s">
        <v>10</v>
      </c>
      <c r="F18" t="s">
        <v>9</v>
      </c>
      <c r="G18">
        <v>1</v>
      </c>
      <c r="H18">
        <v>1.8913591000018599</v>
      </c>
    </row>
    <row r="19" spans="1:14" x14ac:dyDescent="0.3">
      <c r="A19">
        <v>16</v>
      </c>
      <c r="B19" t="s">
        <v>24</v>
      </c>
      <c r="C19" t="s">
        <v>21</v>
      </c>
      <c r="D19" t="s">
        <v>22</v>
      </c>
      <c r="E19" t="s">
        <v>10</v>
      </c>
      <c r="F19" t="s">
        <v>22</v>
      </c>
      <c r="G19">
        <v>1</v>
      </c>
      <c r="H19">
        <v>4.1056745000241701</v>
      </c>
      <c r="J19" t="s">
        <v>98</v>
      </c>
      <c r="K19">
        <f>K14-K13</f>
        <v>3.2161860524575703E-2</v>
      </c>
    </row>
    <row r="20" spans="1:14" x14ac:dyDescent="0.3">
      <c r="A20">
        <v>17</v>
      </c>
      <c r="B20" t="s">
        <v>36</v>
      </c>
      <c r="C20" t="s">
        <v>8</v>
      </c>
      <c r="D20" t="s">
        <v>9</v>
      </c>
      <c r="E20" t="s">
        <v>10</v>
      </c>
      <c r="F20" t="s">
        <v>9</v>
      </c>
      <c r="G20">
        <v>1</v>
      </c>
      <c r="H20">
        <v>0.917648899980122</v>
      </c>
    </row>
    <row r="21" spans="1:14" x14ac:dyDescent="0.3">
      <c r="A21">
        <v>18</v>
      </c>
      <c r="B21" t="s">
        <v>42</v>
      </c>
      <c r="C21" t="s">
        <v>12</v>
      </c>
      <c r="D21" t="s">
        <v>13</v>
      </c>
      <c r="E21" t="s">
        <v>10</v>
      </c>
      <c r="F21" t="s">
        <v>13</v>
      </c>
      <c r="G21">
        <v>1</v>
      </c>
      <c r="H21">
        <v>2.5779303000017499</v>
      </c>
      <c r="J21" t="s">
        <v>99</v>
      </c>
      <c r="K21">
        <f>K14-K15</f>
        <v>0.53127950789501677</v>
      </c>
    </row>
    <row r="22" spans="1:14" x14ac:dyDescent="0.3">
      <c r="A22">
        <v>19</v>
      </c>
      <c r="B22" t="s">
        <v>38</v>
      </c>
      <c r="C22" t="s">
        <v>21</v>
      </c>
      <c r="D22" t="s">
        <v>22</v>
      </c>
      <c r="E22" t="s">
        <v>10</v>
      </c>
      <c r="F22" t="s">
        <v>22</v>
      </c>
      <c r="G22">
        <v>1</v>
      </c>
      <c r="H22">
        <v>0.85694210001383897</v>
      </c>
    </row>
    <row r="23" spans="1:14" x14ac:dyDescent="0.3">
      <c r="A23">
        <v>20</v>
      </c>
      <c r="B23" t="s">
        <v>37</v>
      </c>
      <c r="C23" t="s">
        <v>8</v>
      </c>
      <c r="D23" t="s">
        <v>9</v>
      </c>
      <c r="E23" t="s">
        <v>10</v>
      </c>
      <c r="F23" t="s">
        <v>9</v>
      </c>
      <c r="G23">
        <v>1</v>
      </c>
      <c r="H23">
        <v>1.31919489998836</v>
      </c>
      <c r="J23" t="s">
        <v>103</v>
      </c>
      <c r="K23" t="s">
        <v>104</v>
      </c>
      <c r="L23" t="s">
        <v>105</v>
      </c>
      <c r="M23" t="s">
        <v>106</v>
      </c>
      <c r="N23" t="s">
        <v>107</v>
      </c>
    </row>
    <row r="24" spans="1:14" x14ac:dyDescent="0.3">
      <c r="A24">
        <v>21</v>
      </c>
      <c r="B24" t="s">
        <v>44</v>
      </c>
      <c r="C24" t="s">
        <v>12</v>
      </c>
      <c r="D24" t="s">
        <v>13</v>
      </c>
      <c r="E24" t="s">
        <v>10</v>
      </c>
      <c r="F24" t="s">
        <v>13</v>
      </c>
      <c r="G24">
        <v>1</v>
      </c>
      <c r="H24">
        <v>1.0089072000118899</v>
      </c>
    </row>
    <row r="25" spans="1:14" x14ac:dyDescent="0.3">
      <c r="A25">
        <v>22</v>
      </c>
      <c r="B25" t="s">
        <v>19</v>
      </c>
      <c r="C25" t="s">
        <v>12</v>
      </c>
      <c r="D25" t="s">
        <v>13</v>
      </c>
      <c r="E25" t="s">
        <v>10</v>
      </c>
      <c r="F25" t="s">
        <v>13</v>
      </c>
      <c r="G25">
        <v>1</v>
      </c>
      <c r="H25">
        <v>0.896325999987311</v>
      </c>
      <c r="J25" t="s">
        <v>94</v>
      </c>
      <c r="K25">
        <f>SUM(G3:G40)</f>
        <v>38</v>
      </c>
      <c r="L25">
        <f>K25</f>
        <v>38</v>
      </c>
      <c r="M25">
        <v>0</v>
      </c>
      <c r="N25">
        <f>L25/K25*100</f>
        <v>100</v>
      </c>
    </row>
    <row r="26" spans="1:14" x14ac:dyDescent="0.3">
      <c r="A26">
        <v>23</v>
      </c>
      <c r="B26" t="s">
        <v>33</v>
      </c>
      <c r="C26" t="s">
        <v>8</v>
      </c>
      <c r="D26" t="s">
        <v>9</v>
      </c>
      <c r="E26" t="s">
        <v>10</v>
      </c>
      <c r="F26" t="s">
        <v>9</v>
      </c>
      <c r="G26">
        <v>1</v>
      </c>
      <c r="H26">
        <v>0.95074090000707601</v>
      </c>
      <c r="J26" t="s">
        <v>95</v>
      </c>
      <c r="K26">
        <f>SUM(G42:G79)</f>
        <v>38</v>
      </c>
      <c r="L26">
        <f>K26</f>
        <v>38</v>
      </c>
      <c r="M26">
        <v>0</v>
      </c>
      <c r="N26">
        <f>L26/K26*100</f>
        <v>100</v>
      </c>
    </row>
    <row r="27" spans="1:14" x14ac:dyDescent="0.3">
      <c r="A27">
        <v>24</v>
      </c>
      <c r="B27" t="s">
        <v>15</v>
      </c>
      <c r="C27" t="s">
        <v>12</v>
      </c>
      <c r="D27" t="s">
        <v>13</v>
      </c>
      <c r="E27" t="s">
        <v>10</v>
      </c>
      <c r="F27" t="s">
        <v>13</v>
      </c>
      <c r="G27">
        <v>1</v>
      </c>
      <c r="H27">
        <v>1.3553984999889499</v>
      </c>
      <c r="J27" t="s">
        <v>96</v>
      </c>
      <c r="K27">
        <v>38</v>
      </c>
      <c r="L27">
        <f>K27-M27</f>
        <v>31</v>
      </c>
      <c r="M27">
        <v>7</v>
      </c>
      <c r="N27">
        <f>L27/K27*100</f>
        <v>81.578947368421055</v>
      </c>
    </row>
    <row r="28" spans="1:14" x14ac:dyDescent="0.3">
      <c r="A28">
        <v>25</v>
      </c>
      <c r="B28" t="s">
        <v>16</v>
      </c>
      <c r="C28" t="s">
        <v>17</v>
      </c>
      <c r="D28" t="s">
        <v>18</v>
      </c>
      <c r="E28" t="s">
        <v>10</v>
      </c>
      <c r="F28" t="s">
        <v>18</v>
      </c>
      <c r="G28">
        <v>1</v>
      </c>
      <c r="H28">
        <v>1.3838517999975</v>
      </c>
    </row>
    <row r="29" spans="1:14" x14ac:dyDescent="0.3">
      <c r="A29">
        <v>26</v>
      </c>
      <c r="B29" t="s">
        <v>49</v>
      </c>
      <c r="C29" t="s">
        <v>17</v>
      </c>
      <c r="D29" t="s">
        <v>18</v>
      </c>
      <c r="E29" t="s">
        <v>10</v>
      </c>
      <c r="F29" t="s">
        <v>18</v>
      </c>
      <c r="G29">
        <v>1</v>
      </c>
      <c r="H29">
        <v>2.5278519999992501</v>
      </c>
    </row>
    <row r="30" spans="1:14" x14ac:dyDescent="0.3">
      <c r="A30">
        <v>27</v>
      </c>
      <c r="B30" t="s">
        <v>31</v>
      </c>
      <c r="C30" t="s">
        <v>8</v>
      </c>
      <c r="D30" t="s">
        <v>9</v>
      </c>
      <c r="E30" t="s">
        <v>10</v>
      </c>
      <c r="F30" t="s">
        <v>9</v>
      </c>
      <c r="G30">
        <v>1</v>
      </c>
      <c r="H30">
        <v>1.2651982000097599</v>
      </c>
    </row>
    <row r="31" spans="1:14" x14ac:dyDescent="0.3">
      <c r="A31">
        <v>28</v>
      </c>
      <c r="B31" t="s">
        <v>28</v>
      </c>
      <c r="C31" t="s">
        <v>17</v>
      </c>
      <c r="D31" t="s">
        <v>18</v>
      </c>
      <c r="E31" t="s">
        <v>10</v>
      </c>
      <c r="F31" t="s">
        <v>18</v>
      </c>
      <c r="G31">
        <v>1</v>
      </c>
      <c r="H31">
        <v>2.74187610001536</v>
      </c>
    </row>
    <row r="32" spans="1:14" x14ac:dyDescent="0.3">
      <c r="A32">
        <v>29</v>
      </c>
      <c r="B32" t="s">
        <v>20</v>
      </c>
      <c r="C32" t="s">
        <v>21</v>
      </c>
      <c r="D32" t="s">
        <v>22</v>
      </c>
      <c r="E32" t="s">
        <v>10</v>
      </c>
      <c r="F32" t="s">
        <v>22</v>
      </c>
      <c r="G32">
        <v>1</v>
      </c>
      <c r="H32">
        <v>3.0440097000100601</v>
      </c>
    </row>
    <row r="33" spans="1:8" x14ac:dyDescent="0.3">
      <c r="A33">
        <v>30</v>
      </c>
      <c r="B33" t="s">
        <v>34</v>
      </c>
      <c r="C33" t="s">
        <v>17</v>
      </c>
      <c r="D33" t="s">
        <v>18</v>
      </c>
      <c r="E33" t="s">
        <v>10</v>
      </c>
      <c r="F33" t="s">
        <v>18</v>
      </c>
      <c r="G33">
        <v>1</v>
      </c>
      <c r="H33">
        <v>1.6227477000211299</v>
      </c>
    </row>
    <row r="34" spans="1:8" x14ac:dyDescent="0.3">
      <c r="A34">
        <v>31</v>
      </c>
      <c r="B34" t="s">
        <v>32</v>
      </c>
      <c r="C34" t="s">
        <v>17</v>
      </c>
      <c r="D34" t="s">
        <v>18</v>
      </c>
      <c r="E34" t="s">
        <v>10</v>
      </c>
      <c r="F34" t="s">
        <v>18</v>
      </c>
      <c r="G34">
        <v>1</v>
      </c>
      <c r="H34">
        <v>0.910401100001763</v>
      </c>
    </row>
    <row r="35" spans="1:8" x14ac:dyDescent="0.3">
      <c r="A35">
        <v>32</v>
      </c>
      <c r="B35" t="s">
        <v>48</v>
      </c>
      <c r="C35" t="s">
        <v>12</v>
      </c>
      <c r="D35" t="s">
        <v>13</v>
      </c>
      <c r="E35" t="s">
        <v>10</v>
      </c>
      <c r="F35" t="s">
        <v>13</v>
      </c>
      <c r="G35">
        <v>1</v>
      </c>
      <c r="H35">
        <v>1.0075613000080901</v>
      </c>
    </row>
    <row r="36" spans="1:8" x14ac:dyDescent="0.3">
      <c r="A36">
        <v>33</v>
      </c>
      <c r="B36" t="s">
        <v>40</v>
      </c>
      <c r="C36" t="s">
        <v>8</v>
      </c>
      <c r="D36" t="s">
        <v>9</v>
      </c>
      <c r="E36" t="s">
        <v>10</v>
      </c>
      <c r="F36" t="s">
        <v>9</v>
      </c>
      <c r="G36">
        <v>1</v>
      </c>
      <c r="H36">
        <v>1.6445815000042701</v>
      </c>
    </row>
    <row r="37" spans="1:8" x14ac:dyDescent="0.3">
      <c r="A37">
        <v>34</v>
      </c>
      <c r="B37" t="s">
        <v>50</v>
      </c>
      <c r="C37" t="s">
        <v>21</v>
      </c>
      <c r="D37" t="s">
        <v>22</v>
      </c>
      <c r="E37" t="s">
        <v>10</v>
      </c>
      <c r="F37" t="s">
        <v>22</v>
      </c>
      <c r="G37">
        <v>1</v>
      </c>
      <c r="H37">
        <v>1.4453830000129499</v>
      </c>
    </row>
    <row r="38" spans="1:8" x14ac:dyDescent="0.3">
      <c r="A38">
        <v>35</v>
      </c>
      <c r="B38" t="s">
        <v>26</v>
      </c>
      <c r="C38" t="s">
        <v>12</v>
      </c>
      <c r="D38" t="s">
        <v>13</v>
      </c>
      <c r="E38" t="s">
        <v>10</v>
      </c>
      <c r="F38" t="s">
        <v>13</v>
      </c>
      <c r="G38">
        <v>1</v>
      </c>
      <c r="H38">
        <v>0.94027500000083797</v>
      </c>
    </row>
    <row r="39" spans="1:8" x14ac:dyDescent="0.3">
      <c r="A39">
        <v>36</v>
      </c>
      <c r="B39" t="s">
        <v>7</v>
      </c>
      <c r="C39" t="s">
        <v>8</v>
      </c>
      <c r="D39" t="s">
        <v>9</v>
      </c>
      <c r="E39" t="s">
        <v>10</v>
      </c>
      <c r="F39" t="s">
        <v>9</v>
      </c>
      <c r="G39">
        <v>1</v>
      </c>
      <c r="H39">
        <v>0.79360330000054002</v>
      </c>
    </row>
    <row r="40" spans="1:8" x14ac:dyDescent="0.3">
      <c r="A40">
        <v>37</v>
      </c>
      <c r="B40" t="s">
        <v>27</v>
      </c>
      <c r="C40" t="s">
        <v>21</v>
      </c>
      <c r="D40" t="s">
        <v>22</v>
      </c>
      <c r="E40" t="s">
        <v>10</v>
      </c>
      <c r="F40" t="s">
        <v>22</v>
      </c>
      <c r="G40">
        <v>1</v>
      </c>
      <c r="H40">
        <v>5.2310293000191397</v>
      </c>
    </row>
    <row r="42" spans="1:8" x14ac:dyDescent="0.3">
      <c r="A42">
        <v>0</v>
      </c>
      <c r="B42" t="s">
        <v>74</v>
      </c>
      <c r="C42" t="s">
        <v>17</v>
      </c>
      <c r="D42" t="s">
        <v>18</v>
      </c>
      <c r="F42" t="s">
        <v>18</v>
      </c>
      <c r="G42">
        <v>1</v>
      </c>
      <c r="H42">
        <v>1.7637760000070499</v>
      </c>
    </row>
    <row r="43" spans="1:8" x14ac:dyDescent="0.3">
      <c r="A43">
        <v>1</v>
      </c>
      <c r="B43" t="s">
        <v>72</v>
      </c>
      <c r="C43" t="s">
        <v>17</v>
      </c>
      <c r="D43" t="s">
        <v>18</v>
      </c>
      <c r="F43" t="s">
        <v>18</v>
      </c>
      <c r="G43">
        <v>1</v>
      </c>
      <c r="H43">
        <v>1.01902949999202</v>
      </c>
    </row>
    <row r="44" spans="1:8" x14ac:dyDescent="0.3">
      <c r="A44">
        <v>2</v>
      </c>
      <c r="B44" t="s">
        <v>88</v>
      </c>
      <c r="C44" t="s">
        <v>21</v>
      </c>
      <c r="D44" t="s">
        <v>22</v>
      </c>
      <c r="F44" t="s">
        <v>22</v>
      </c>
      <c r="G44">
        <v>1</v>
      </c>
      <c r="H44">
        <v>1.95216280000749</v>
      </c>
    </row>
    <row r="45" spans="1:8" x14ac:dyDescent="0.3">
      <c r="A45">
        <v>3</v>
      </c>
      <c r="B45" t="s">
        <v>87</v>
      </c>
      <c r="C45" t="s">
        <v>12</v>
      </c>
      <c r="D45" t="s">
        <v>13</v>
      </c>
      <c r="F45" t="s">
        <v>13</v>
      </c>
      <c r="G45">
        <v>1</v>
      </c>
      <c r="H45">
        <v>0.95143059999099899</v>
      </c>
    </row>
    <row r="46" spans="1:8" x14ac:dyDescent="0.3">
      <c r="A46">
        <v>4</v>
      </c>
      <c r="B46" t="s">
        <v>81</v>
      </c>
      <c r="C46" t="s">
        <v>21</v>
      </c>
      <c r="D46" t="s">
        <v>22</v>
      </c>
      <c r="F46" t="s">
        <v>22</v>
      </c>
      <c r="G46">
        <v>1</v>
      </c>
      <c r="H46">
        <v>0.84111010000924502</v>
      </c>
    </row>
    <row r="47" spans="1:8" x14ac:dyDescent="0.3">
      <c r="A47">
        <v>5</v>
      </c>
      <c r="B47" t="s">
        <v>90</v>
      </c>
      <c r="C47" t="s">
        <v>17</v>
      </c>
      <c r="D47" t="s">
        <v>18</v>
      </c>
      <c r="F47" t="s">
        <v>18</v>
      </c>
      <c r="G47">
        <v>1</v>
      </c>
      <c r="H47">
        <v>0.98766889999387697</v>
      </c>
    </row>
    <row r="48" spans="1:8" x14ac:dyDescent="0.3">
      <c r="A48">
        <v>6</v>
      </c>
      <c r="B48" t="s">
        <v>59</v>
      </c>
      <c r="C48" t="s">
        <v>12</v>
      </c>
      <c r="D48" t="s">
        <v>13</v>
      </c>
      <c r="F48" t="s">
        <v>13</v>
      </c>
      <c r="G48">
        <v>1</v>
      </c>
      <c r="H48">
        <v>1.03297850000672</v>
      </c>
    </row>
    <row r="49" spans="1:8" x14ac:dyDescent="0.3">
      <c r="A49">
        <v>7</v>
      </c>
      <c r="B49" t="s">
        <v>78</v>
      </c>
      <c r="C49" t="s">
        <v>21</v>
      </c>
      <c r="D49" t="s">
        <v>22</v>
      </c>
      <c r="F49" t="s">
        <v>22</v>
      </c>
      <c r="G49">
        <v>1</v>
      </c>
      <c r="H49">
        <v>1.7735874000063601</v>
      </c>
    </row>
    <row r="50" spans="1:8" x14ac:dyDescent="0.3">
      <c r="A50">
        <v>8</v>
      </c>
      <c r="B50" t="s">
        <v>82</v>
      </c>
      <c r="C50" t="s">
        <v>12</v>
      </c>
      <c r="D50" t="s">
        <v>13</v>
      </c>
      <c r="F50" t="s">
        <v>13</v>
      </c>
      <c r="G50">
        <v>1</v>
      </c>
      <c r="H50">
        <v>1.60421459999633</v>
      </c>
    </row>
    <row r="51" spans="1:8" x14ac:dyDescent="0.3">
      <c r="A51">
        <v>9</v>
      </c>
      <c r="B51" t="s">
        <v>86</v>
      </c>
      <c r="C51" t="s">
        <v>8</v>
      </c>
      <c r="D51" t="s">
        <v>9</v>
      </c>
      <c r="F51" t="s">
        <v>9</v>
      </c>
      <c r="G51">
        <v>1</v>
      </c>
      <c r="H51">
        <v>2.7791885000187899</v>
      </c>
    </row>
    <row r="52" spans="1:8" x14ac:dyDescent="0.3">
      <c r="A52">
        <v>10</v>
      </c>
      <c r="B52" t="s">
        <v>70</v>
      </c>
      <c r="C52" t="s">
        <v>8</v>
      </c>
      <c r="D52" t="s">
        <v>9</v>
      </c>
      <c r="F52" t="s">
        <v>9</v>
      </c>
      <c r="G52">
        <v>1</v>
      </c>
      <c r="H52">
        <v>6.0339998999843303</v>
      </c>
    </row>
    <row r="53" spans="1:8" x14ac:dyDescent="0.3">
      <c r="A53">
        <v>11</v>
      </c>
      <c r="B53" t="s">
        <v>65</v>
      </c>
      <c r="C53" t="s">
        <v>17</v>
      </c>
      <c r="D53" t="s">
        <v>18</v>
      </c>
      <c r="F53" t="s">
        <v>18</v>
      </c>
      <c r="G53">
        <v>1</v>
      </c>
      <c r="H53">
        <v>0.88412060000700798</v>
      </c>
    </row>
    <row r="54" spans="1:8" x14ac:dyDescent="0.3">
      <c r="A54">
        <v>12</v>
      </c>
      <c r="B54" t="s">
        <v>68</v>
      </c>
      <c r="C54" t="s">
        <v>12</v>
      </c>
      <c r="D54" t="s">
        <v>13</v>
      </c>
      <c r="F54" t="s">
        <v>13</v>
      </c>
      <c r="G54">
        <v>1</v>
      </c>
      <c r="H54">
        <v>2.3038891000032802</v>
      </c>
    </row>
    <row r="55" spans="1:8" x14ac:dyDescent="0.3">
      <c r="A55">
        <v>13</v>
      </c>
      <c r="B55" t="s">
        <v>84</v>
      </c>
      <c r="C55" t="s">
        <v>21</v>
      </c>
      <c r="D55" t="s">
        <v>22</v>
      </c>
      <c r="F55" t="s">
        <v>22</v>
      </c>
      <c r="G55">
        <v>1</v>
      </c>
      <c r="H55">
        <v>1.09679760001017</v>
      </c>
    </row>
    <row r="56" spans="1:8" x14ac:dyDescent="0.3">
      <c r="A56">
        <v>14</v>
      </c>
      <c r="B56" t="s">
        <v>73</v>
      </c>
      <c r="C56" t="s">
        <v>21</v>
      </c>
      <c r="D56" t="s">
        <v>22</v>
      </c>
      <c r="F56" t="s">
        <v>22</v>
      </c>
      <c r="G56">
        <v>1</v>
      </c>
      <c r="H56">
        <v>1.5685127000033301</v>
      </c>
    </row>
    <row r="57" spans="1:8" x14ac:dyDescent="0.3">
      <c r="A57">
        <v>15</v>
      </c>
      <c r="B57" t="s">
        <v>91</v>
      </c>
      <c r="C57" t="s">
        <v>12</v>
      </c>
      <c r="D57" t="s">
        <v>13</v>
      </c>
      <c r="F57" t="s">
        <v>13</v>
      </c>
      <c r="G57">
        <v>1</v>
      </c>
      <c r="H57">
        <v>1.12669869998353</v>
      </c>
    </row>
    <row r="58" spans="1:8" x14ac:dyDescent="0.3">
      <c r="A58">
        <v>16</v>
      </c>
      <c r="B58" t="s">
        <v>89</v>
      </c>
      <c r="C58" t="s">
        <v>8</v>
      </c>
      <c r="D58" t="s">
        <v>9</v>
      </c>
      <c r="F58" t="s">
        <v>9</v>
      </c>
      <c r="G58">
        <v>1</v>
      </c>
      <c r="H58">
        <v>1.2081818000005999</v>
      </c>
    </row>
    <row r="59" spans="1:8" x14ac:dyDescent="0.3">
      <c r="A59">
        <v>17</v>
      </c>
      <c r="B59" t="s">
        <v>62</v>
      </c>
      <c r="C59" t="s">
        <v>21</v>
      </c>
      <c r="D59" t="s">
        <v>22</v>
      </c>
      <c r="F59" t="s">
        <v>22</v>
      </c>
      <c r="G59">
        <v>1</v>
      </c>
      <c r="H59">
        <v>1.38372559999697</v>
      </c>
    </row>
    <row r="60" spans="1:8" x14ac:dyDescent="0.3">
      <c r="A60">
        <v>18</v>
      </c>
      <c r="B60" t="s">
        <v>79</v>
      </c>
      <c r="C60" t="s">
        <v>8</v>
      </c>
      <c r="D60" t="s">
        <v>9</v>
      </c>
      <c r="F60" t="s">
        <v>9</v>
      </c>
      <c r="G60">
        <v>1</v>
      </c>
      <c r="H60">
        <v>2.2820013000164101</v>
      </c>
    </row>
    <row r="61" spans="1:8" x14ac:dyDescent="0.3">
      <c r="A61">
        <v>19</v>
      </c>
      <c r="B61" t="s">
        <v>77</v>
      </c>
      <c r="C61" t="s">
        <v>17</v>
      </c>
      <c r="D61" t="s">
        <v>18</v>
      </c>
      <c r="F61" t="s">
        <v>18</v>
      </c>
      <c r="G61">
        <v>1</v>
      </c>
      <c r="H61">
        <v>3.33870049999677</v>
      </c>
    </row>
    <row r="62" spans="1:8" x14ac:dyDescent="0.3">
      <c r="A62">
        <v>20</v>
      </c>
      <c r="B62" t="s">
        <v>58</v>
      </c>
      <c r="C62" t="s">
        <v>8</v>
      </c>
      <c r="D62" t="s">
        <v>9</v>
      </c>
      <c r="F62" t="s">
        <v>9</v>
      </c>
      <c r="G62">
        <v>1</v>
      </c>
      <c r="H62">
        <v>2.0707067000039299</v>
      </c>
    </row>
    <row r="63" spans="1:8" x14ac:dyDescent="0.3">
      <c r="A63">
        <v>21</v>
      </c>
      <c r="B63" t="s">
        <v>85</v>
      </c>
      <c r="C63" t="s">
        <v>21</v>
      </c>
      <c r="D63" t="s">
        <v>22</v>
      </c>
      <c r="F63" t="s">
        <v>22</v>
      </c>
      <c r="G63">
        <v>1</v>
      </c>
      <c r="H63">
        <v>2.7776057000155498</v>
      </c>
    </row>
    <row r="64" spans="1:8" x14ac:dyDescent="0.3">
      <c r="A64">
        <v>22</v>
      </c>
      <c r="B64" t="s">
        <v>76</v>
      </c>
      <c r="C64" t="s">
        <v>8</v>
      </c>
      <c r="D64" t="s">
        <v>9</v>
      </c>
      <c r="F64" t="s">
        <v>9</v>
      </c>
      <c r="G64">
        <v>1</v>
      </c>
      <c r="H64">
        <v>1.11919619998661</v>
      </c>
    </row>
    <row r="65" spans="1:8" x14ac:dyDescent="0.3">
      <c r="A65">
        <v>23</v>
      </c>
      <c r="B65" t="s">
        <v>69</v>
      </c>
      <c r="C65" t="s">
        <v>8</v>
      </c>
      <c r="D65" t="s">
        <v>9</v>
      </c>
      <c r="F65" t="s">
        <v>9</v>
      </c>
      <c r="G65">
        <v>1</v>
      </c>
      <c r="H65">
        <v>2.3791706000047199</v>
      </c>
    </row>
    <row r="66" spans="1:8" x14ac:dyDescent="0.3">
      <c r="A66">
        <v>24</v>
      </c>
      <c r="B66" t="s">
        <v>64</v>
      </c>
      <c r="C66" t="s">
        <v>12</v>
      </c>
      <c r="D66" t="s">
        <v>13</v>
      </c>
      <c r="F66" t="s">
        <v>13</v>
      </c>
      <c r="G66">
        <v>1</v>
      </c>
      <c r="H66">
        <v>1.1767613999836599</v>
      </c>
    </row>
    <row r="67" spans="1:8" x14ac:dyDescent="0.3">
      <c r="A67">
        <v>25</v>
      </c>
      <c r="B67" t="s">
        <v>66</v>
      </c>
      <c r="C67" t="s">
        <v>8</v>
      </c>
      <c r="D67" t="s">
        <v>9</v>
      </c>
      <c r="F67" t="s">
        <v>9</v>
      </c>
      <c r="G67">
        <v>1</v>
      </c>
      <c r="H67">
        <v>1.4306615000241401</v>
      </c>
    </row>
    <row r="68" spans="1:8" x14ac:dyDescent="0.3">
      <c r="A68">
        <v>26</v>
      </c>
      <c r="B68" t="s">
        <v>60</v>
      </c>
      <c r="C68" t="s">
        <v>21</v>
      </c>
      <c r="D68" t="s">
        <v>22</v>
      </c>
      <c r="F68" t="s">
        <v>22</v>
      </c>
      <c r="G68">
        <v>1</v>
      </c>
      <c r="H68">
        <v>1.9565505000064101</v>
      </c>
    </row>
    <row r="69" spans="1:8" x14ac:dyDescent="0.3">
      <c r="A69">
        <v>27</v>
      </c>
      <c r="B69" t="s">
        <v>61</v>
      </c>
      <c r="C69" t="s">
        <v>21</v>
      </c>
      <c r="D69" t="s">
        <v>22</v>
      </c>
      <c r="F69" t="s">
        <v>22</v>
      </c>
      <c r="G69">
        <v>1</v>
      </c>
      <c r="H69">
        <v>1.030534599995</v>
      </c>
    </row>
    <row r="70" spans="1:8" x14ac:dyDescent="0.3">
      <c r="A70">
        <v>28</v>
      </c>
      <c r="B70" t="s">
        <v>67</v>
      </c>
      <c r="C70" t="s">
        <v>17</v>
      </c>
      <c r="D70" t="s">
        <v>18</v>
      </c>
      <c r="F70" t="s">
        <v>18</v>
      </c>
      <c r="G70">
        <v>1</v>
      </c>
      <c r="H70">
        <v>5.0810208999900999</v>
      </c>
    </row>
    <row r="71" spans="1:8" x14ac:dyDescent="0.3">
      <c r="A71">
        <v>29</v>
      </c>
      <c r="B71" t="s">
        <v>63</v>
      </c>
      <c r="C71" t="s">
        <v>21</v>
      </c>
      <c r="D71" t="s">
        <v>22</v>
      </c>
      <c r="F71" t="s">
        <v>22</v>
      </c>
      <c r="G71">
        <v>1</v>
      </c>
      <c r="H71">
        <v>6.9745941000001004</v>
      </c>
    </row>
    <row r="72" spans="1:8" x14ac:dyDescent="0.3">
      <c r="A72">
        <v>30</v>
      </c>
      <c r="B72" t="s">
        <v>80</v>
      </c>
      <c r="C72" t="s">
        <v>17</v>
      </c>
      <c r="D72" t="s">
        <v>18</v>
      </c>
      <c r="F72" t="s">
        <v>18</v>
      </c>
      <c r="G72">
        <v>1</v>
      </c>
      <c r="H72">
        <v>1.7462915999931199</v>
      </c>
    </row>
    <row r="73" spans="1:8" x14ac:dyDescent="0.3">
      <c r="A73">
        <v>31</v>
      </c>
      <c r="B73" t="s">
        <v>54</v>
      </c>
      <c r="C73" t="s">
        <v>8</v>
      </c>
      <c r="D73" t="s">
        <v>9</v>
      </c>
      <c r="F73" t="s">
        <v>9</v>
      </c>
      <c r="G73">
        <v>1</v>
      </c>
      <c r="H73">
        <v>1.4104305000219</v>
      </c>
    </row>
    <row r="74" spans="1:8" x14ac:dyDescent="0.3">
      <c r="A74">
        <v>32</v>
      </c>
      <c r="B74" t="s">
        <v>57</v>
      </c>
      <c r="C74" t="s">
        <v>8</v>
      </c>
      <c r="D74" t="s">
        <v>9</v>
      </c>
      <c r="F74" t="s">
        <v>9</v>
      </c>
      <c r="G74">
        <v>1</v>
      </c>
      <c r="H74">
        <v>0.918296299991197</v>
      </c>
    </row>
    <row r="75" spans="1:8" x14ac:dyDescent="0.3">
      <c r="A75">
        <v>33</v>
      </c>
      <c r="B75" t="s">
        <v>56</v>
      </c>
      <c r="C75" t="s">
        <v>12</v>
      </c>
      <c r="D75" t="s">
        <v>13</v>
      </c>
      <c r="F75" t="s">
        <v>13</v>
      </c>
      <c r="G75">
        <v>1</v>
      </c>
      <c r="H75">
        <v>1.05188709998037</v>
      </c>
    </row>
    <row r="76" spans="1:8" x14ac:dyDescent="0.3">
      <c r="A76">
        <v>34</v>
      </c>
      <c r="B76" t="s">
        <v>71</v>
      </c>
      <c r="C76" t="s">
        <v>12</v>
      </c>
      <c r="D76" t="s">
        <v>13</v>
      </c>
      <c r="F76" t="s">
        <v>13</v>
      </c>
      <c r="G76">
        <v>1</v>
      </c>
      <c r="H76">
        <v>1.12591150001389</v>
      </c>
    </row>
    <row r="77" spans="1:8" x14ac:dyDescent="0.3">
      <c r="A77">
        <v>35</v>
      </c>
      <c r="B77" t="s">
        <v>83</v>
      </c>
      <c r="C77" t="s">
        <v>17</v>
      </c>
      <c r="D77" t="s">
        <v>18</v>
      </c>
      <c r="F77" t="s">
        <v>18</v>
      </c>
      <c r="G77">
        <v>1</v>
      </c>
      <c r="H77">
        <v>1.0131779000221199</v>
      </c>
    </row>
    <row r="78" spans="1:8" x14ac:dyDescent="0.3">
      <c r="A78">
        <v>36</v>
      </c>
      <c r="B78" t="s">
        <v>75</v>
      </c>
      <c r="C78" t="s">
        <v>17</v>
      </c>
      <c r="D78" t="s">
        <v>18</v>
      </c>
      <c r="F78" t="s">
        <v>18</v>
      </c>
      <c r="G78">
        <v>1</v>
      </c>
      <c r="H78">
        <v>1.0897656999877601</v>
      </c>
    </row>
    <row r="79" spans="1:8" x14ac:dyDescent="0.3">
      <c r="A79">
        <v>37</v>
      </c>
      <c r="B79" t="s">
        <v>55</v>
      </c>
      <c r="C79" t="s">
        <v>12</v>
      </c>
      <c r="D79" t="s">
        <v>13</v>
      </c>
      <c r="F79" t="s">
        <v>13</v>
      </c>
      <c r="G79">
        <v>1</v>
      </c>
      <c r="H79">
        <v>1.4817555999907199</v>
      </c>
    </row>
    <row r="81" spans="1:8" x14ac:dyDescent="0.3">
      <c r="A81">
        <v>0</v>
      </c>
      <c r="B81" t="s">
        <v>53</v>
      </c>
      <c r="C81" t="s">
        <v>12</v>
      </c>
      <c r="D81" t="s">
        <v>13</v>
      </c>
      <c r="F81" t="s">
        <v>13</v>
      </c>
      <c r="G81">
        <v>1</v>
      </c>
      <c r="H81">
        <v>0.90226880001137</v>
      </c>
    </row>
    <row r="82" spans="1:8" x14ac:dyDescent="0.3">
      <c r="A82">
        <v>1</v>
      </c>
      <c r="B82" t="s">
        <v>27</v>
      </c>
      <c r="C82" t="s">
        <v>21</v>
      </c>
      <c r="D82" t="s">
        <v>22</v>
      </c>
      <c r="F82" t="s">
        <v>22</v>
      </c>
      <c r="G82">
        <v>1</v>
      </c>
      <c r="H82">
        <v>1.4708824999979599</v>
      </c>
    </row>
    <row r="83" spans="1:8" x14ac:dyDescent="0.3">
      <c r="A83">
        <v>2</v>
      </c>
      <c r="B83" t="s">
        <v>52</v>
      </c>
      <c r="C83" t="s">
        <v>17</v>
      </c>
      <c r="D83" t="s">
        <v>18</v>
      </c>
      <c r="F83" t="s">
        <v>18</v>
      </c>
      <c r="G83">
        <v>1</v>
      </c>
      <c r="H83">
        <v>2.4754147000203299</v>
      </c>
    </row>
    <row r="84" spans="1:8" x14ac:dyDescent="0.3">
      <c r="A84">
        <v>3</v>
      </c>
      <c r="B84" t="s">
        <v>14</v>
      </c>
      <c r="C84" t="s">
        <v>8</v>
      </c>
      <c r="D84" t="s">
        <v>9</v>
      </c>
      <c r="F84" t="s">
        <v>9</v>
      </c>
      <c r="G84">
        <v>1</v>
      </c>
      <c r="H84">
        <v>2.3656308999925302</v>
      </c>
    </row>
    <row r="85" spans="1:8" x14ac:dyDescent="0.3">
      <c r="A85">
        <v>4</v>
      </c>
      <c r="B85" t="s">
        <v>32</v>
      </c>
      <c r="C85" t="s">
        <v>17</v>
      </c>
      <c r="D85" t="s">
        <v>18</v>
      </c>
      <c r="F85" t="s">
        <v>22</v>
      </c>
      <c r="G85" s="1">
        <v>0</v>
      </c>
      <c r="H85">
        <v>0.84382670000195503</v>
      </c>
    </row>
    <row r="86" spans="1:8" x14ac:dyDescent="0.3">
      <c r="A86">
        <v>5</v>
      </c>
      <c r="B86" t="s">
        <v>19</v>
      </c>
      <c r="C86" t="s">
        <v>12</v>
      </c>
      <c r="D86" t="s">
        <v>13</v>
      </c>
      <c r="F86" t="s">
        <v>9</v>
      </c>
      <c r="G86" s="1">
        <v>0</v>
      </c>
      <c r="H86">
        <v>1.7745389000046901</v>
      </c>
    </row>
    <row r="87" spans="1:8" x14ac:dyDescent="0.3">
      <c r="A87">
        <v>6</v>
      </c>
      <c r="B87" t="s">
        <v>11</v>
      </c>
      <c r="C87" t="s">
        <v>12</v>
      </c>
      <c r="D87" t="s">
        <v>13</v>
      </c>
      <c r="F87" t="s">
        <v>13</v>
      </c>
      <c r="G87">
        <v>1</v>
      </c>
      <c r="H87">
        <v>1.2988167000003099</v>
      </c>
    </row>
    <row r="88" spans="1:8" x14ac:dyDescent="0.3">
      <c r="A88">
        <v>7</v>
      </c>
      <c r="B88" t="s">
        <v>40</v>
      </c>
      <c r="C88" t="s">
        <v>8</v>
      </c>
      <c r="D88" t="s">
        <v>9</v>
      </c>
      <c r="F88" t="s">
        <v>13</v>
      </c>
      <c r="G88" s="1">
        <v>0</v>
      </c>
      <c r="H88">
        <v>1.72554350001155</v>
      </c>
    </row>
    <row r="89" spans="1:8" x14ac:dyDescent="0.3">
      <c r="A89">
        <v>8</v>
      </c>
      <c r="B89" t="s">
        <v>44</v>
      </c>
      <c r="C89" t="s">
        <v>12</v>
      </c>
      <c r="D89" t="s">
        <v>13</v>
      </c>
      <c r="F89" t="s">
        <v>9</v>
      </c>
      <c r="G89" s="1">
        <v>0</v>
      </c>
      <c r="H89">
        <v>1.67089039998245</v>
      </c>
    </row>
    <row r="90" spans="1:8" x14ac:dyDescent="0.3">
      <c r="A90">
        <v>9</v>
      </c>
      <c r="B90" t="s">
        <v>51</v>
      </c>
      <c r="C90" t="s">
        <v>8</v>
      </c>
      <c r="D90" t="s">
        <v>9</v>
      </c>
      <c r="F90" t="s">
        <v>9</v>
      </c>
      <c r="G90">
        <v>1</v>
      </c>
      <c r="H90">
        <v>1.05064319999655</v>
      </c>
    </row>
    <row r="91" spans="1:8" x14ac:dyDescent="0.3">
      <c r="A91">
        <v>10</v>
      </c>
      <c r="B91" t="s">
        <v>29</v>
      </c>
      <c r="C91" t="s">
        <v>17</v>
      </c>
      <c r="D91" t="s">
        <v>18</v>
      </c>
      <c r="F91" t="s">
        <v>18</v>
      </c>
      <c r="G91">
        <v>1</v>
      </c>
      <c r="H91">
        <v>1.6258531000057701</v>
      </c>
    </row>
    <row r="92" spans="1:8" x14ac:dyDescent="0.3">
      <c r="A92">
        <v>11</v>
      </c>
      <c r="B92" t="s">
        <v>24</v>
      </c>
      <c r="C92" t="s">
        <v>21</v>
      </c>
      <c r="D92" t="s">
        <v>22</v>
      </c>
      <c r="F92" t="s">
        <v>22</v>
      </c>
      <c r="G92">
        <v>1</v>
      </c>
      <c r="H92">
        <v>1.2635121000057501</v>
      </c>
    </row>
    <row r="93" spans="1:8" x14ac:dyDescent="0.3">
      <c r="A93">
        <v>12</v>
      </c>
      <c r="B93" t="s">
        <v>47</v>
      </c>
      <c r="C93" t="s">
        <v>8</v>
      </c>
      <c r="D93" t="s">
        <v>9</v>
      </c>
      <c r="F93" t="s">
        <v>9</v>
      </c>
      <c r="G93">
        <v>1</v>
      </c>
      <c r="H93">
        <v>2.51146189999417</v>
      </c>
    </row>
    <row r="94" spans="1:8" x14ac:dyDescent="0.3">
      <c r="A94">
        <v>13</v>
      </c>
      <c r="B94" t="s">
        <v>33</v>
      </c>
      <c r="C94" t="s">
        <v>8</v>
      </c>
      <c r="D94" t="s">
        <v>9</v>
      </c>
      <c r="F94" t="s">
        <v>9</v>
      </c>
      <c r="G94">
        <v>1</v>
      </c>
      <c r="H94">
        <v>0.84213449998060197</v>
      </c>
    </row>
    <row r="95" spans="1:8" x14ac:dyDescent="0.3">
      <c r="A95">
        <v>14</v>
      </c>
      <c r="B95" t="s">
        <v>25</v>
      </c>
      <c r="C95" t="s">
        <v>21</v>
      </c>
      <c r="D95" t="s">
        <v>22</v>
      </c>
      <c r="F95" t="s">
        <v>22</v>
      </c>
      <c r="G95">
        <v>1</v>
      </c>
      <c r="H95">
        <v>2.5700545999861699</v>
      </c>
    </row>
    <row r="96" spans="1:8" x14ac:dyDescent="0.3">
      <c r="A96">
        <v>15</v>
      </c>
      <c r="B96" t="s">
        <v>20</v>
      </c>
      <c r="C96" t="s">
        <v>21</v>
      </c>
      <c r="D96" t="s">
        <v>22</v>
      </c>
      <c r="F96" t="s">
        <v>22</v>
      </c>
      <c r="G96">
        <v>1</v>
      </c>
      <c r="H96">
        <v>0.75639470000169196</v>
      </c>
    </row>
    <row r="97" spans="1:8" x14ac:dyDescent="0.3">
      <c r="A97">
        <v>16</v>
      </c>
      <c r="B97" t="s">
        <v>16</v>
      </c>
      <c r="C97" t="s">
        <v>17</v>
      </c>
      <c r="D97" t="s">
        <v>18</v>
      </c>
      <c r="F97" t="s">
        <v>22</v>
      </c>
      <c r="G97" s="1">
        <v>0</v>
      </c>
      <c r="H97">
        <v>0.52289220000966397</v>
      </c>
    </row>
    <row r="98" spans="1:8" x14ac:dyDescent="0.3">
      <c r="A98">
        <v>17</v>
      </c>
      <c r="B98" t="s">
        <v>46</v>
      </c>
      <c r="C98" t="s">
        <v>21</v>
      </c>
      <c r="D98" t="s">
        <v>22</v>
      </c>
      <c r="F98" t="s">
        <v>22</v>
      </c>
      <c r="G98">
        <v>1</v>
      </c>
      <c r="H98">
        <v>1.08035190001828</v>
      </c>
    </row>
    <row r="99" spans="1:8" x14ac:dyDescent="0.3">
      <c r="A99">
        <v>18</v>
      </c>
      <c r="B99" t="s">
        <v>31</v>
      </c>
      <c r="C99" t="s">
        <v>8</v>
      </c>
      <c r="D99" t="s">
        <v>9</v>
      </c>
      <c r="F99" t="s">
        <v>9</v>
      </c>
      <c r="G99">
        <v>1</v>
      </c>
      <c r="H99">
        <v>1.3220710000023199</v>
      </c>
    </row>
    <row r="100" spans="1:8" x14ac:dyDescent="0.3">
      <c r="A100">
        <v>19</v>
      </c>
      <c r="B100" t="s">
        <v>7</v>
      </c>
      <c r="C100" t="s">
        <v>8</v>
      </c>
      <c r="D100" t="s">
        <v>9</v>
      </c>
      <c r="F100" t="s">
        <v>9</v>
      </c>
      <c r="G100">
        <v>1</v>
      </c>
      <c r="H100">
        <v>0.97659090001252402</v>
      </c>
    </row>
    <row r="101" spans="1:8" x14ac:dyDescent="0.3">
      <c r="A101">
        <v>20</v>
      </c>
      <c r="B101" t="s">
        <v>41</v>
      </c>
      <c r="C101" t="s">
        <v>21</v>
      </c>
      <c r="D101" t="s">
        <v>22</v>
      </c>
      <c r="F101" t="s">
        <v>9</v>
      </c>
      <c r="G101" s="1">
        <v>0</v>
      </c>
      <c r="H101">
        <v>0.50934770001913399</v>
      </c>
    </row>
    <row r="102" spans="1:8" x14ac:dyDescent="0.3">
      <c r="A102">
        <v>21</v>
      </c>
      <c r="B102" t="s">
        <v>30</v>
      </c>
      <c r="C102" t="s">
        <v>8</v>
      </c>
      <c r="D102" t="s">
        <v>9</v>
      </c>
      <c r="F102" t="s">
        <v>9</v>
      </c>
      <c r="G102">
        <v>1</v>
      </c>
      <c r="H102">
        <v>0.79929180000908595</v>
      </c>
    </row>
    <row r="103" spans="1:8" x14ac:dyDescent="0.3">
      <c r="A103">
        <v>22</v>
      </c>
      <c r="B103" t="s">
        <v>50</v>
      </c>
      <c r="C103" t="s">
        <v>21</v>
      </c>
      <c r="D103" t="s">
        <v>22</v>
      </c>
      <c r="F103" t="s">
        <v>22</v>
      </c>
      <c r="G103">
        <v>1</v>
      </c>
      <c r="H103">
        <v>1.19102160001057</v>
      </c>
    </row>
    <row r="104" spans="1:8" x14ac:dyDescent="0.3">
      <c r="A104">
        <v>23</v>
      </c>
      <c r="B104" t="s">
        <v>15</v>
      </c>
      <c r="C104" t="s">
        <v>12</v>
      </c>
      <c r="D104" t="s">
        <v>13</v>
      </c>
      <c r="F104" t="s">
        <v>13</v>
      </c>
      <c r="G104">
        <v>1</v>
      </c>
      <c r="H104">
        <v>1.38128849997883</v>
      </c>
    </row>
    <row r="105" spans="1:8" x14ac:dyDescent="0.3">
      <c r="A105">
        <v>24</v>
      </c>
      <c r="B105" t="s">
        <v>39</v>
      </c>
      <c r="C105" t="s">
        <v>12</v>
      </c>
      <c r="D105" t="s">
        <v>13</v>
      </c>
      <c r="F105" t="s">
        <v>13</v>
      </c>
      <c r="G105">
        <v>1</v>
      </c>
      <c r="H105">
        <v>0.36250639997888301</v>
      </c>
    </row>
    <row r="106" spans="1:8" x14ac:dyDescent="0.3">
      <c r="A106">
        <v>25</v>
      </c>
      <c r="B106" t="s">
        <v>92</v>
      </c>
      <c r="C106" t="s">
        <v>17</v>
      </c>
      <c r="D106" t="s">
        <v>18</v>
      </c>
      <c r="F106" t="s">
        <v>13</v>
      </c>
      <c r="G106" s="1">
        <v>0</v>
      </c>
      <c r="H106">
        <v>0.50948959999368504</v>
      </c>
    </row>
    <row r="107" spans="1:8" x14ac:dyDescent="0.3">
      <c r="A107">
        <v>26</v>
      </c>
      <c r="B107" t="s">
        <v>34</v>
      </c>
      <c r="C107" t="s">
        <v>17</v>
      </c>
      <c r="D107" t="s">
        <v>18</v>
      </c>
      <c r="F107" t="s">
        <v>18</v>
      </c>
      <c r="G107">
        <v>1</v>
      </c>
      <c r="H107">
        <v>0.75368700001854405</v>
      </c>
    </row>
    <row r="108" spans="1:8" x14ac:dyDescent="0.3">
      <c r="A108">
        <v>27</v>
      </c>
      <c r="B108" t="s">
        <v>37</v>
      </c>
      <c r="C108" t="s">
        <v>8</v>
      </c>
      <c r="D108" t="s">
        <v>9</v>
      </c>
      <c r="F108" t="s">
        <v>9</v>
      </c>
      <c r="G108">
        <v>1</v>
      </c>
      <c r="H108">
        <v>0.98833819999708705</v>
      </c>
    </row>
    <row r="109" spans="1:8" x14ac:dyDescent="0.3">
      <c r="A109">
        <v>28</v>
      </c>
      <c r="B109" t="s">
        <v>45</v>
      </c>
      <c r="C109" t="s">
        <v>21</v>
      </c>
      <c r="D109" t="s">
        <v>22</v>
      </c>
      <c r="F109" t="s">
        <v>22</v>
      </c>
      <c r="G109">
        <v>1</v>
      </c>
      <c r="H109">
        <v>0.70453290001023505</v>
      </c>
    </row>
    <row r="110" spans="1:8" x14ac:dyDescent="0.3">
      <c r="A110">
        <v>29</v>
      </c>
      <c r="B110" t="s">
        <v>43</v>
      </c>
      <c r="C110" t="s">
        <v>21</v>
      </c>
      <c r="D110" t="s">
        <v>22</v>
      </c>
      <c r="F110" t="s">
        <v>22</v>
      </c>
      <c r="G110">
        <v>1</v>
      </c>
      <c r="H110">
        <v>0.81257619999814701</v>
      </c>
    </row>
    <row r="111" spans="1:8" x14ac:dyDescent="0.3">
      <c r="A111">
        <v>30</v>
      </c>
      <c r="B111" t="s">
        <v>35</v>
      </c>
      <c r="C111" t="s">
        <v>17</v>
      </c>
      <c r="D111" t="s">
        <v>18</v>
      </c>
      <c r="F111" t="s">
        <v>18</v>
      </c>
      <c r="G111">
        <v>1</v>
      </c>
      <c r="H111">
        <v>0.97488829999929205</v>
      </c>
    </row>
    <row r="112" spans="1:8" x14ac:dyDescent="0.3">
      <c r="A112">
        <v>31</v>
      </c>
      <c r="B112" t="s">
        <v>49</v>
      </c>
      <c r="C112" t="s">
        <v>17</v>
      </c>
      <c r="D112" t="s">
        <v>18</v>
      </c>
      <c r="F112" t="s">
        <v>18</v>
      </c>
      <c r="G112">
        <v>1</v>
      </c>
      <c r="H112">
        <v>1.67148859999724</v>
      </c>
    </row>
    <row r="113" spans="1:8" x14ac:dyDescent="0.3">
      <c r="A113">
        <v>32</v>
      </c>
      <c r="B113" t="s">
        <v>26</v>
      </c>
      <c r="C113" t="s">
        <v>12</v>
      </c>
      <c r="D113" t="s">
        <v>13</v>
      </c>
      <c r="F113" t="s">
        <v>13</v>
      </c>
      <c r="G113">
        <v>1</v>
      </c>
      <c r="H113">
        <v>1.05819869998958</v>
      </c>
    </row>
    <row r="114" spans="1:8" x14ac:dyDescent="0.3">
      <c r="A114">
        <v>33</v>
      </c>
      <c r="B114" t="s">
        <v>38</v>
      </c>
      <c r="C114" t="s">
        <v>21</v>
      </c>
      <c r="D114" t="s">
        <v>22</v>
      </c>
      <c r="F114" t="s">
        <v>22</v>
      </c>
      <c r="G114">
        <v>1</v>
      </c>
      <c r="H114">
        <v>1.5627171999949401</v>
      </c>
    </row>
    <row r="115" spans="1:8" x14ac:dyDescent="0.3">
      <c r="A115">
        <v>34</v>
      </c>
      <c r="B115" t="s">
        <v>36</v>
      </c>
      <c r="C115" t="s">
        <v>8</v>
      </c>
      <c r="D115" t="s">
        <v>9</v>
      </c>
      <c r="F115" t="s">
        <v>9</v>
      </c>
      <c r="G115">
        <v>1</v>
      </c>
      <c r="H115">
        <v>4.6831450000172401</v>
      </c>
    </row>
    <row r="116" spans="1:8" x14ac:dyDescent="0.3">
      <c r="A116">
        <v>35</v>
      </c>
      <c r="B116" t="s">
        <v>42</v>
      </c>
      <c r="C116" t="s">
        <v>12</v>
      </c>
      <c r="D116" t="s">
        <v>13</v>
      </c>
      <c r="F116" t="s">
        <v>13</v>
      </c>
      <c r="G116">
        <v>1</v>
      </c>
      <c r="H116">
        <v>2.2087372999812902</v>
      </c>
    </row>
    <row r="117" spans="1:8" x14ac:dyDescent="0.3">
      <c r="A117">
        <v>36</v>
      </c>
      <c r="B117" t="s">
        <v>23</v>
      </c>
      <c r="C117" t="s">
        <v>17</v>
      </c>
      <c r="D117" t="s">
        <v>18</v>
      </c>
      <c r="F117" t="s">
        <v>18</v>
      </c>
      <c r="G117">
        <v>1</v>
      </c>
      <c r="H117">
        <v>1.4376724000030601</v>
      </c>
    </row>
    <row r="118" spans="1:8" x14ac:dyDescent="0.3">
      <c r="A118">
        <v>37</v>
      </c>
      <c r="B118" t="s">
        <v>48</v>
      </c>
      <c r="C118" t="s">
        <v>12</v>
      </c>
      <c r="D118" t="s">
        <v>13</v>
      </c>
      <c r="F118" t="s">
        <v>13</v>
      </c>
      <c r="G118">
        <v>1</v>
      </c>
      <c r="H118">
        <v>0.91877119999844503</v>
      </c>
    </row>
  </sheetData>
  <autoFilter ref="G80:G1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18"/>
  <sheetViews>
    <sheetView topLeftCell="A3" workbookViewId="0">
      <selection activeCell="N12" sqref="N1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101</v>
      </c>
      <c r="E1" t="s">
        <v>4</v>
      </c>
      <c r="F1" t="s">
        <v>5</v>
      </c>
      <c r="G1" t="s">
        <v>102</v>
      </c>
      <c r="H1" t="s">
        <v>6</v>
      </c>
    </row>
    <row r="3" spans="1:12" x14ac:dyDescent="0.3">
      <c r="A3">
        <v>0</v>
      </c>
      <c r="B3" t="s">
        <v>28</v>
      </c>
      <c r="C3" t="s">
        <v>17</v>
      </c>
      <c r="D3" t="s">
        <v>18</v>
      </c>
      <c r="E3" t="s">
        <v>10</v>
      </c>
      <c r="F3" t="s">
        <v>18</v>
      </c>
      <c r="G3">
        <v>1</v>
      </c>
      <c r="H3">
        <v>1.15807569999014</v>
      </c>
    </row>
    <row r="4" spans="1:12" x14ac:dyDescent="0.3">
      <c r="A4">
        <v>1</v>
      </c>
      <c r="B4" t="s">
        <v>51</v>
      </c>
      <c r="C4" t="s">
        <v>8</v>
      </c>
      <c r="D4" t="s">
        <v>9</v>
      </c>
      <c r="E4" t="s">
        <v>10</v>
      </c>
      <c r="F4" t="s">
        <v>9</v>
      </c>
      <c r="G4">
        <v>1</v>
      </c>
      <c r="H4">
        <v>1.49380570001085</v>
      </c>
    </row>
    <row r="5" spans="1:12" x14ac:dyDescent="0.3">
      <c r="A5">
        <v>2</v>
      </c>
      <c r="B5" t="s">
        <v>7</v>
      </c>
      <c r="C5" t="s">
        <v>8</v>
      </c>
      <c r="D5" t="s">
        <v>9</v>
      </c>
      <c r="E5" t="s">
        <v>10</v>
      </c>
      <c r="F5" t="s">
        <v>9</v>
      </c>
      <c r="G5">
        <v>1</v>
      </c>
      <c r="H5">
        <v>1.0772256999916801</v>
      </c>
    </row>
    <row r="6" spans="1:12" x14ac:dyDescent="0.3">
      <c r="A6">
        <v>3</v>
      </c>
      <c r="B6" t="s">
        <v>44</v>
      </c>
      <c r="C6" t="s">
        <v>12</v>
      </c>
      <c r="D6" t="s">
        <v>13</v>
      </c>
      <c r="E6" t="s">
        <v>10</v>
      </c>
      <c r="F6" t="s">
        <v>13</v>
      </c>
      <c r="G6">
        <v>1</v>
      </c>
      <c r="H6">
        <v>0.87663210000027902</v>
      </c>
    </row>
    <row r="7" spans="1:12" x14ac:dyDescent="0.3">
      <c r="A7">
        <v>4</v>
      </c>
      <c r="B7" t="s">
        <v>42</v>
      </c>
      <c r="C7" t="s">
        <v>12</v>
      </c>
      <c r="D7" t="s">
        <v>13</v>
      </c>
      <c r="E7" t="s">
        <v>10</v>
      </c>
      <c r="F7" t="s">
        <v>13</v>
      </c>
      <c r="G7">
        <v>1</v>
      </c>
      <c r="H7">
        <v>0.70533180001075302</v>
      </c>
    </row>
    <row r="8" spans="1:12" x14ac:dyDescent="0.3">
      <c r="A8">
        <v>5</v>
      </c>
      <c r="B8" t="s">
        <v>29</v>
      </c>
      <c r="C8" t="s">
        <v>17</v>
      </c>
      <c r="D8" t="s">
        <v>18</v>
      </c>
      <c r="E8" t="s">
        <v>10</v>
      </c>
      <c r="F8" t="s">
        <v>18</v>
      </c>
      <c r="G8">
        <v>1</v>
      </c>
      <c r="H8">
        <v>1.02750969998305</v>
      </c>
    </row>
    <row r="9" spans="1:12" x14ac:dyDescent="0.3">
      <c r="A9">
        <v>6</v>
      </c>
      <c r="B9" t="s">
        <v>34</v>
      </c>
      <c r="C9" t="s">
        <v>17</v>
      </c>
      <c r="D9" t="s">
        <v>18</v>
      </c>
      <c r="E9" t="s">
        <v>10</v>
      </c>
      <c r="F9" t="s">
        <v>18</v>
      </c>
      <c r="G9">
        <v>1</v>
      </c>
      <c r="H9">
        <v>0.87920560000929904</v>
      </c>
    </row>
    <row r="10" spans="1:12" x14ac:dyDescent="0.3">
      <c r="A10">
        <v>7</v>
      </c>
      <c r="B10" t="s">
        <v>32</v>
      </c>
      <c r="C10" t="s">
        <v>17</v>
      </c>
      <c r="D10" t="s">
        <v>18</v>
      </c>
      <c r="E10" t="s">
        <v>10</v>
      </c>
      <c r="F10" t="s">
        <v>18</v>
      </c>
      <c r="G10">
        <v>1</v>
      </c>
      <c r="H10">
        <v>0.71771880000596799</v>
      </c>
      <c r="J10" t="s">
        <v>93</v>
      </c>
      <c r="K10" t="s">
        <v>97</v>
      </c>
    </row>
    <row r="11" spans="1:12" x14ac:dyDescent="0.3">
      <c r="A11">
        <v>8</v>
      </c>
      <c r="B11" t="s">
        <v>15</v>
      </c>
      <c r="C11" t="s">
        <v>12</v>
      </c>
      <c r="D11" t="s">
        <v>13</v>
      </c>
      <c r="E11" t="s">
        <v>10</v>
      </c>
      <c r="F11" t="s">
        <v>13</v>
      </c>
      <c r="G11">
        <v>1</v>
      </c>
      <c r="H11">
        <v>1.00043349998304</v>
      </c>
      <c r="J11" t="s">
        <v>94</v>
      </c>
      <c r="K11">
        <f>AVERAGE(H3:H40)</f>
        <v>1.1057695763156485</v>
      </c>
    </row>
    <row r="12" spans="1:12" x14ac:dyDescent="0.3">
      <c r="A12">
        <v>9</v>
      </c>
      <c r="B12" t="s">
        <v>27</v>
      </c>
      <c r="C12" t="s">
        <v>21</v>
      </c>
      <c r="D12" t="s">
        <v>22</v>
      </c>
      <c r="E12" t="s">
        <v>10</v>
      </c>
      <c r="F12" t="s">
        <v>22</v>
      </c>
      <c r="G12">
        <v>1</v>
      </c>
      <c r="H12">
        <v>1.3412993999954701</v>
      </c>
      <c r="J12" t="s">
        <v>95</v>
      </c>
      <c r="K12">
        <f>AVERAGE(H42:H79)</f>
        <v>1.207215747370926</v>
      </c>
    </row>
    <row r="13" spans="1:12" x14ac:dyDescent="0.3">
      <c r="A13">
        <v>10</v>
      </c>
      <c r="B13" t="s">
        <v>50</v>
      </c>
      <c r="C13" t="s">
        <v>21</v>
      </c>
      <c r="D13" t="s">
        <v>22</v>
      </c>
      <c r="E13" t="s">
        <v>10</v>
      </c>
      <c r="F13" t="s">
        <v>22</v>
      </c>
      <c r="G13">
        <v>1</v>
      </c>
      <c r="H13">
        <v>1.1118256000045199</v>
      </c>
      <c r="J13" t="s">
        <v>96</v>
      </c>
      <c r="K13">
        <f>AVERAGE(H81:H118)</f>
        <v>1.32936445789681</v>
      </c>
      <c r="L13">
        <f>AVERAGE(H81:H118)</f>
        <v>1.32936445789681</v>
      </c>
    </row>
    <row r="14" spans="1:12" x14ac:dyDescent="0.3">
      <c r="A14">
        <v>11</v>
      </c>
      <c r="B14" t="s">
        <v>49</v>
      </c>
      <c r="C14" t="s">
        <v>17</v>
      </c>
      <c r="D14" t="s">
        <v>18</v>
      </c>
      <c r="E14" t="s">
        <v>10</v>
      </c>
      <c r="F14" t="s">
        <v>18</v>
      </c>
      <c r="G14">
        <v>1</v>
      </c>
      <c r="H14">
        <v>1.26722050001262</v>
      </c>
    </row>
    <row r="15" spans="1:12" x14ac:dyDescent="0.3">
      <c r="A15">
        <v>12</v>
      </c>
      <c r="B15" t="s">
        <v>31</v>
      </c>
      <c r="C15" t="s">
        <v>8</v>
      </c>
      <c r="D15" t="s">
        <v>9</v>
      </c>
      <c r="E15" t="s">
        <v>10</v>
      </c>
      <c r="F15" t="s">
        <v>9</v>
      </c>
      <c r="G15">
        <v>1</v>
      </c>
      <c r="H15">
        <v>0.97832140000537005</v>
      </c>
    </row>
    <row r="16" spans="1:12" x14ac:dyDescent="0.3">
      <c r="A16">
        <v>13</v>
      </c>
      <c r="B16" t="s">
        <v>45</v>
      </c>
      <c r="C16" t="s">
        <v>21</v>
      </c>
      <c r="D16" t="s">
        <v>22</v>
      </c>
      <c r="E16" t="s">
        <v>10</v>
      </c>
      <c r="F16" t="s">
        <v>22</v>
      </c>
      <c r="G16">
        <v>1</v>
      </c>
      <c r="H16">
        <v>1.08322660002158</v>
      </c>
    </row>
    <row r="17" spans="1:14" x14ac:dyDescent="0.3">
      <c r="A17">
        <v>14</v>
      </c>
      <c r="B17" t="s">
        <v>46</v>
      </c>
      <c r="C17" t="s">
        <v>21</v>
      </c>
      <c r="D17" t="s">
        <v>22</v>
      </c>
      <c r="E17" t="s">
        <v>10</v>
      </c>
      <c r="F17" t="s">
        <v>22</v>
      </c>
      <c r="G17">
        <v>1</v>
      </c>
      <c r="H17">
        <v>0.64953689998946995</v>
      </c>
      <c r="J17" t="s">
        <v>98</v>
      </c>
      <c r="K17">
        <f>K12-K11</f>
        <v>0.10144617105527742</v>
      </c>
    </row>
    <row r="18" spans="1:14" x14ac:dyDescent="0.3">
      <c r="A18">
        <v>15</v>
      </c>
      <c r="B18" t="s">
        <v>37</v>
      </c>
      <c r="C18" t="s">
        <v>8</v>
      </c>
      <c r="D18" t="s">
        <v>9</v>
      </c>
      <c r="E18" t="s">
        <v>10</v>
      </c>
      <c r="F18" t="s">
        <v>9</v>
      </c>
      <c r="G18">
        <v>1</v>
      </c>
      <c r="H18">
        <v>1.0874939999775901</v>
      </c>
    </row>
    <row r="19" spans="1:14" x14ac:dyDescent="0.3">
      <c r="A19">
        <v>16</v>
      </c>
      <c r="B19" t="s">
        <v>14</v>
      </c>
      <c r="C19" t="s">
        <v>8</v>
      </c>
      <c r="D19" t="s">
        <v>9</v>
      </c>
      <c r="E19" t="s">
        <v>10</v>
      </c>
      <c r="F19" t="s">
        <v>9</v>
      </c>
      <c r="G19">
        <v>1</v>
      </c>
      <c r="H19">
        <v>0.75216950001777105</v>
      </c>
      <c r="J19" t="s">
        <v>99</v>
      </c>
      <c r="K19">
        <f>K12-K13</f>
        <v>-0.12214871052588405</v>
      </c>
    </row>
    <row r="20" spans="1:14" x14ac:dyDescent="0.3">
      <c r="A20">
        <v>17</v>
      </c>
      <c r="B20" t="s">
        <v>53</v>
      </c>
      <c r="C20" t="s">
        <v>12</v>
      </c>
      <c r="D20" t="s">
        <v>13</v>
      </c>
      <c r="E20" t="s">
        <v>10</v>
      </c>
      <c r="F20" t="s">
        <v>13</v>
      </c>
      <c r="G20">
        <v>1</v>
      </c>
      <c r="H20">
        <v>0.77924159998656195</v>
      </c>
    </row>
    <row r="21" spans="1:14" x14ac:dyDescent="0.3">
      <c r="A21">
        <v>18</v>
      </c>
      <c r="B21" t="s">
        <v>47</v>
      </c>
      <c r="C21" t="s">
        <v>8</v>
      </c>
      <c r="D21" t="s">
        <v>9</v>
      </c>
      <c r="E21" t="s">
        <v>10</v>
      </c>
      <c r="F21" t="s">
        <v>9</v>
      </c>
      <c r="G21">
        <v>1</v>
      </c>
      <c r="H21">
        <v>0.88466829998651497</v>
      </c>
      <c r="J21" t="s">
        <v>103</v>
      </c>
      <c r="K21" t="s">
        <v>104</v>
      </c>
      <c r="L21" t="s">
        <v>105</v>
      </c>
      <c r="M21" t="s">
        <v>106</v>
      </c>
      <c r="N21" t="s">
        <v>107</v>
      </c>
    </row>
    <row r="22" spans="1:14" x14ac:dyDescent="0.3">
      <c r="A22">
        <v>19</v>
      </c>
      <c r="B22" t="s">
        <v>41</v>
      </c>
      <c r="C22" t="s">
        <v>21</v>
      </c>
      <c r="D22" t="s">
        <v>22</v>
      </c>
      <c r="E22" t="s">
        <v>10</v>
      </c>
      <c r="F22" t="s">
        <v>22</v>
      </c>
      <c r="G22">
        <v>1</v>
      </c>
      <c r="H22">
        <v>1.3683277999807599</v>
      </c>
    </row>
    <row r="23" spans="1:14" x14ac:dyDescent="0.3">
      <c r="A23">
        <v>20</v>
      </c>
      <c r="B23" t="s">
        <v>19</v>
      </c>
      <c r="C23" t="s">
        <v>12</v>
      </c>
      <c r="D23" t="s">
        <v>13</v>
      </c>
      <c r="E23" t="s">
        <v>10</v>
      </c>
      <c r="F23" t="s">
        <v>13</v>
      </c>
      <c r="G23">
        <v>1</v>
      </c>
      <c r="H23">
        <v>0.76928730000508905</v>
      </c>
      <c r="J23" t="s">
        <v>94</v>
      </c>
      <c r="K23">
        <v>38</v>
      </c>
      <c r="L23">
        <v>38</v>
      </c>
      <c r="M23">
        <v>0</v>
      </c>
      <c r="N23">
        <f>L23/K23*100</f>
        <v>100</v>
      </c>
    </row>
    <row r="24" spans="1:14" x14ac:dyDescent="0.3">
      <c r="A24">
        <v>21</v>
      </c>
      <c r="B24" t="s">
        <v>43</v>
      </c>
      <c r="C24" t="s">
        <v>21</v>
      </c>
      <c r="D24" t="s">
        <v>22</v>
      </c>
      <c r="E24" t="s">
        <v>10</v>
      </c>
      <c r="F24" t="s">
        <v>22</v>
      </c>
      <c r="G24">
        <v>1</v>
      </c>
      <c r="H24">
        <v>1.5563984000182201</v>
      </c>
      <c r="J24" t="s">
        <v>95</v>
      </c>
      <c r="K24">
        <v>38</v>
      </c>
      <c r="L24">
        <v>38</v>
      </c>
      <c r="M24">
        <v>0</v>
      </c>
      <c r="N24">
        <f>L24/K24*100</f>
        <v>100</v>
      </c>
    </row>
    <row r="25" spans="1:14" x14ac:dyDescent="0.3">
      <c r="A25">
        <v>22</v>
      </c>
      <c r="B25" t="s">
        <v>11</v>
      </c>
      <c r="C25" t="s">
        <v>12</v>
      </c>
      <c r="D25" t="s">
        <v>13</v>
      </c>
      <c r="E25" t="s">
        <v>10</v>
      </c>
      <c r="F25" t="s">
        <v>13</v>
      </c>
      <c r="G25">
        <v>1</v>
      </c>
      <c r="H25">
        <v>0.62848610000219196</v>
      </c>
      <c r="J25" t="s">
        <v>96</v>
      </c>
      <c r="K25">
        <v>38</v>
      </c>
      <c r="L25">
        <f>K25-M25</f>
        <v>37</v>
      </c>
      <c r="M25">
        <v>1</v>
      </c>
      <c r="N25">
        <f>L25/K25*100</f>
        <v>97.368421052631575</v>
      </c>
    </row>
    <row r="26" spans="1:14" x14ac:dyDescent="0.3">
      <c r="A26">
        <v>23</v>
      </c>
      <c r="B26" t="s">
        <v>40</v>
      </c>
      <c r="C26" t="s">
        <v>8</v>
      </c>
      <c r="D26" t="s">
        <v>9</v>
      </c>
      <c r="E26" t="s">
        <v>10</v>
      </c>
      <c r="F26" t="s">
        <v>9</v>
      </c>
      <c r="G26">
        <v>1</v>
      </c>
      <c r="H26">
        <v>1.1162354999978501</v>
      </c>
    </row>
    <row r="27" spans="1:14" x14ac:dyDescent="0.3">
      <c r="A27">
        <v>24</v>
      </c>
      <c r="B27" t="s">
        <v>48</v>
      </c>
      <c r="C27" t="s">
        <v>12</v>
      </c>
      <c r="D27" t="s">
        <v>13</v>
      </c>
      <c r="E27" t="s">
        <v>10</v>
      </c>
      <c r="F27" t="s">
        <v>13</v>
      </c>
      <c r="G27">
        <v>1</v>
      </c>
      <c r="H27">
        <v>0.87534609998692703</v>
      </c>
    </row>
    <row r="28" spans="1:14" x14ac:dyDescent="0.3">
      <c r="A28">
        <v>25</v>
      </c>
      <c r="B28" t="s">
        <v>23</v>
      </c>
      <c r="C28" t="s">
        <v>17</v>
      </c>
      <c r="D28" t="s">
        <v>18</v>
      </c>
      <c r="E28" t="s">
        <v>10</v>
      </c>
      <c r="F28" t="s">
        <v>18</v>
      </c>
      <c r="G28">
        <v>1</v>
      </c>
      <c r="H28">
        <v>1.8342122999893</v>
      </c>
    </row>
    <row r="29" spans="1:14" x14ac:dyDescent="0.3">
      <c r="A29">
        <v>26</v>
      </c>
      <c r="B29" t="s">
        <v>30</v>
      </c>
      <c r="C29" t="s">
        <v>8</v>
      </c>
      <c r="D29" t="s">
        <v>9</v>
      </c>
      <c r="E29" t="s">
        <v>10</v>
      </c>
      <c r="F29" t="s">
        <v>9</v>
      </c>
      <c r="G29">
        <v>1</v>
      </c>
      <c r="H29">
        <v>0.990470799995819</v>
      </c>
    </row>
    <row r="30" spans="1:14" x14ac:dyDescent="0.3">
      <c r="A30">
        <v>27</v>
      </c>
      <c r="B30" t="s">
        <v>35</v>
      </c>
      <c r="C30" t="s">
        <v>17</v>
      </c>
      <c r="D30" t="s">
        <v>18</v>
      </c>
      <c r="E30" t="s">
        <v>10</v>
      </c>
      <c r="F30" t="s">
        <v>18</v>
      </c>
      <c r="G30">
        <v>1</v>
      </c>
      <c r="H30">
        <v>1.6178366999956699</v>
      </c>
    </row>
    <row r="31" spans="1:14" x14ac:dyDescent="0.3">
      <c r="A31">
        <v>28</v>
      </c>
      <c r="B31" t="s">
        <v>33</v>
      </c>
      <c r="C31" t="s">
        <v>8</v>
      </c>
      <c r="D31" t="s">
        <v>9</v>
      </c>
      <c r="E31" t="s">
        <v>10</v>
      </c>
      <c r="F31" t="s">
        <v>9</v>
      </c>
      <c r="G31">
        <v>1</v>
      </c>
      <c r="H31">
        <v>1.25072270000237</v>
      </c>
    </row>
    <row r="32" spans="1:14" x14ac:dyDescent="0.3">
      <c r="A32">
        <v>29</v>
      </c>
      <c r="B32" t="s">
        <v>52</v>
      </c>
      <c r="C32" t="s">
        <v>17</v>
      </c>
      <c r="D32" t="s">
        <v>18</v>
      </c>
      <c r="E32" t="s">
        <v>10</v>
      </c>
      <c r="F32" t="s">
        <v>18</v>
      </c>
      <c r="G32">
        <v>1</v>
      </c>
      <c r="H32">
        <v>1.3766629000019699</v>
      </c>
    </row>
    <row r="33" spans="1:8" x14ac:dyDescent="0.3">
      <c r="A33">
        <v>30</v>
      </c>
      <c r="B33" t="s">
        <v>39</v>
      </c>
      <c r="C33" t="s">
        <v>12</v>
      </c>
      <c r="D33" t="s">
        <v>13</v>
      </c>
      <c r="E33" t="s">
        <v>10</v>
      </c>
      <c r="F33" t="s">
        <v>13</v>
      </c>
      <c r="G33">
        <v>1</v>
      </c>
      <c r="H33">
        <v>0.901763400004711</v>
      </c>
    </row>
    <row r="34" spans="1:8" x14ac:dyDescent="0.3">
      <c r="A34">
        <v>31</v>
      </c>
      <c r="B34" t="s">
        <v>16</v>
      </c>
      <c r="C34" t="s">
        <v>17</v>
      </c>
      <c r="D34" t="s">
        <v>18</v>
      </c>
      <c r="E34" t="s">
        <v>10</v>
      </c>
      <c r="F34" t="s">
        <v>18</v>
      </c>
      <c r="G34">
        <v>1</v>
      </c>
      <c r="H34">
        <v>1.4325802999956001</v>
      </c>
    </row>
    <row r="35" spans="1:8" x14ac:dyDescent="0.3">
      <c r="A35">
        <v>32</v>
      </c>
      <c r="B35" t="s">
        <v>26</v>
      </c>
      <c r="C35" t="s">
        <v>12</v>
      </c>
      <c r="D35" t="s">
        <v>13</v>
      </c>
      <c r="E35" t="s">
        <v>10</v>
      </c>
      <c r="F35" t="s">
        <v>13</v>
      </c>
      <c r="G35">
        <v>1</v>
      </c>
      <c r="H35">
        <v>2.33925150000141</v>
      </c>
    </row>
    <row r="36" spans="1:8" x14ac:dyDescent="0.3">
      <c r="A36">
        <v>33</v>
      </c>
      <c r="B36" t="s">
        <v>36</v>
      </c>
      <c r="C36" t="s">
        <v>8</v>
      </c>
      <c r="D36" t="s">
        <v>9</v>
      </c>
      <c r="E36" t="s">
        <v>10</v>
      </c>
      <c r="F36" t="s">
        <v>9</v>
      </c>
      <c r="G36">
        <v>1</v>
      </c>
      <c r="H36">
        <v>1.0254243000235801</v>
      </c>
    </row>
    <row r="37" spans="1:8" x14ac:dyDescent="0.3">
      <c r="A37">
        <v>34</v>
      </c>
      <c r="B37" t="s">
        <v>38</v>
      </c>
      <c r="C37" t="s">
        <v>21</v>
      </c>
      <c r="D37" t="s">
        <v>22</v>
      </c>
      <c r="E37" t="s">
        <v>10</v>
      </c>
      <c r="F37" t="s">
        <v>22</v>
      </c>
      <c r="G37">
        <v>1</v>
      </c>
      <c r="H37">
        <v>1.21543250000104</v>
      </c>
    </row>
    <row r="38" spans="1:8" x14ac:dyDescent="0.3">
      <c r="A38">
        <v>35</v>
      </c>
      <c r="B38" t="s">
        <v>24</v>
      </c>
      <c r="C38" t="s">
        <v>21</v>
      </c>
      <c r="D38" t="s">
        <v>22</v>
      </c>
      <c r="E38" t="s">
        <v>10</v>
      </c>
      <c r="F38" t="s">
        <v>22</v>
      </c>
      <c r="G38">
        <v>1</v>
      </c>
      <c r="H38">
        <v>1.02192519998061</v>
      </c>
    </row>
    <row r="39" spans="1:8" x14ac:dyDescent="0.3">
      <c r="A39">
        <v>36</v>
      </c>
      <c r="B39" t="s">
        <v>20</v>
      </c>
      <c r="C39" t="s">
        <v>21</v>
      </c>
      <c r="D39" t="s">
        <v>22</v>
      </c>
      <c r="E39" t="s">
        <v>10</v>
      </c>
      <c r="F39" t="s">
        <v>22</v>
      </c>
      <c r="G39">
        <v>1</v>
      </c>
      <c r="H39">
        <v>0.72972510001272795</v>
      </c>
    </row>
    <row r="40" spans="1:8" x14ac:dyDescent="0.3">
      <c r="A40">
        <v>37</v>
      </c>
      <c r="B40" t="s">
        <v>25</v>
      </c>
      <c r="C40" t="s">
        <v>21</v>
      </c>
      <c r="D40" t="s">
        <v>22</v>
      </c>
      <c r="E40" t="s">
        <v>10</v>
      </c>
      <c r="F40" t="s">
        <v>22</v>
      </c>
      <c r="G40">
        <v>1</v>
      </c>
      <c r="H40">
        <v>1.09821260001626</v>
      </c>
    </row>
    <row r="42" spans="1:8" x14ac:dyDescent="0.3">
      <c r="A42">
        <v>0</v>
      </c>
      <c r="B42" t="s">
        <v>75</v>
      </c>
      <c r="C42" t="s">
        <v>17</v>
      </c>
      <c r="D42" t="s">
        <v>18</v>
      </c>
      <c r="F42" t="s">
        <v>18</v>
      </c>
      <c r="G42">
        <v>1</v>
      </c>
      <c r="H42">
        <v>0.97594300002674494</v>
      </c>
    </row>
    <row r="43" spans="1:8" x14ac:dyDescent="0.3">
      <c r="A43">
        <v>1</v>
      </c>
      <c r="B43" t="s">
        <v>70</v>
      </c>
      <c r="C43" t="s">
        <v>8</v>
      </c>
      <c r="D43" t="s">
        <v>9</v>
      </c>
      <c r="F43" t="s">
        <v>9</v>
      </c>
      <c r="G43">
        <v>1</v>
      </c>
      <c r="H43">
        <v>1.01588669998454</v>
      </c>
    </row>
    <row r="44" spans="1:8" x14ac:dyDescent="0.3">
      <c r="A44">
        <v>2</v>
      </c>
      <c r="B44" t="s">
        <v>67</v>
      </c>
      <c r="C44" t="s">
        <v>17</v>
      </c>
      <c r="D44" t="s">
        <v>18</v>
      </c>
      <c r="F44" t="s">
        <v>18</v>
      </c>
      <c r="G44">
        <v>1</v>
      </c>
      <c r="H44">
        <v>1.2173388999945001</v>
      </c>
    </row>
    <row r="45" spans="1:8" x14ac:dyDescent="0.3">
      <c r="A45">
        <v>3</v>
      </c>
      <c r="B45" t="s">
        <v>61</v>
      </c>
      <c r="C45" t="s">
        <v>21</v>
      </c>
      <c r="D45" t="s">
        <v>22</v>
      </c>
      <c r="F45" t="s">
        <v>22</v>
      </c>
      <c r="G45">
        <v>1</v>
      </c>
      <c r="H45">
        <v>1.95961879999958</v>
      </c>
    </row>
    <row r="46" spans="1:8" x14ac:dyDescent="0.3">
      <c r="A46">
        <v>4</v>
      </c>
      <c r="B46" t="s">
        <v>63</v>
      </c>
      <c r="C46" t="s">
        <v>21</v>
      </c>
      <c r="D46" t="s">
        <v>22</v>
      </c>
      <c r="F46" t="s">
        <v>22</v>
      </c>
      <c r="G46">
        <v>1</v>
      </c>
      <c r="H46">
        <v>0.66583250000257899</v>
      </c>
    </row>
    <row r="47" spans="1:8" x14ac:dyDescent="0.3">
      <c r="A47">
        <v>5</v>
      </c>
      <c r="B47" t="s">
        <v>77</v>
      </c>
      <c r="C47" t="s">
        <v>17</v>
      </c>
      <c r="D47" t="s">
        <v>18</v>
      </c>
      <c r="F47" t="s">
        <v>18</v>
      </c>
      <c r="G47">
        <v>1</v>
      </c>
      <c r="H47">
        <v>0.95610179999493905</v>
      </c>
    </row>
    <row r="48" spans="1:8" x14ac:dyDescent="0.3">
      <c r="A48">
        <v>6</v>
      </c>
      <c r="B48" t="s">
        <v>71</v>
      </c>
      <c r="C48" t="s">
        <v>12</v>
      </c>
      <c r="D48" t="s">
        <v>13</v>
      </c>
      <c r="F48" t="s">
        <v>13</v>
      </c>
      <c r="G48">
        <v>1</v>
      </c>
      <c r="H48">
        <v>1.0553635999967801</v>
      </c>
    </row>
    <row r="49" spans="1:8" x14ac:dyDescent="0.3">
      <c r="A49">
        <v>7</v>
      </c>
      <c r="B49" t="s">
        <v>56</v>
      </c>
      <c r="C49" t="s">
        <v>12</v>
      </c>
      <c r="D49" t="s">
        <v>13</v>
      </c>
      <c r="F49" t="s">
        <v>13</v>
      </c>
      <c r="G49">
        <v>1</v>
      </c>
      <c r="H49">
        <v>0.84557279999717105</v>
      </c>
    </row>
    <row r="50" spans="1:8" x14ac:dyDescent="0.3">
      <c r="A50">
        <v>8</v>
      </c>
      <c r="B50" t="s">
        <v>57</v>
      </c>
      <c r="C50" t="s">
        <v>8</v>
      </c>
      <c r="D50" t="s">
        <v>9</v>
      </c>
      <c r="F50" t="s">
        <v>9</v>
      </c>
      <c r="G50">
        <v>1</v>
      </c>
      <c r="H50">
        <v>0.91151430000900202</v>
      </c>
    </row>
    <row r="51" spans="1:8" x14ac:dyDescent="0.3">
      <c r="A51">
        <v>9</v>
      </c>
      <c r="B51" t="s">
        <v>64</v>
      </c>
      <c r="C51" t="s">
        <v>12</v>
      </c>
      <c r="D51" t="s">
        <v>13</v>
      </c>
      <c r="F51" t="s">
        <v>13</v>
      </c>
      <c r="G51">
        <v>1</v>
      </c>
      <c r="H51">
        <v>1.21688650001306</v>
      </c>
    </row>
    <row r="52" spans="1:8" x14ac:dyDescent="0.3">
      <c r="A52">
        <v>10</v>
      </c>
      <c r="B52" t="s">
        <v>86</v>
      </c>
      <c r="C52" t="s">
        <v>8</v>
      </c>
      <c r="D52" t="s">
        <v>9</v>
      </c>
      <c r="F52" t="s">
        <v>9</v>
      </c>
      <c r="G52">
        <v>1</v>
      </c>
      <c r="H52">
        <v>1.0656445999920801</v>
      </c>
    </row>
    <row r="53" spans="1:8" x14ac:dyDescent="0.3">
      <c r="A53">
        <v>11</v>
      </c>
      <c r="B53" t="s">
        <v>55</v>
      </c>
      <c r="C53" t="s">
        <v>12</v>
      </c>
      <c r="D53" t="s">
        <v>13</v>
      </c>
      <c r="F53" t="s">
        <v>13</v>
      </c>
      <c r="G53">
        <v>1</v>
      </c>
      <c r="H53">
        <v>0.62255120000918396</v>
      </c>
    </row>
    <row r="54" spans="1:8" x14ac:dyDescent="0.3">
      <c r="A54">
        <v>12</v>
      </c>
      <c r="B54" t="s">
        <v>81</v>
      </c>
      <c r="C54" t="s">
        <v>21</v>
      </c>
      <c r="D54" t="s">
        <v>22</v>
      </c>
      <c r="F54" t="s">
        <v>22</v>
      </c>
      <c r="G54">
        <v>1</v>
      </c>
      <c r="H54">
        <v>1.10311289998935</v>
      </c>
    </row>
    <row r="55" spans="1:8" x14ac:dyDescent="0.3">
      <c r="A55">
        <v>13</v>
      </c>
      <c r="B55" t="s">
        <v>66</v>
      </c>
      <c r="C55" t="s">
        <v>8</v>
      </c>
      <c r="D55" t="s">
        <v>9</v>
      </c>
      <c r="F55" t="s">
        <v>9</v>
      </c>
      <c r="G55">
        <v>1</v>
      </c>
      <c r="H55">
        <v>1.00576500000897</v>
      </c>
    </row>
    <row r="56" spans="1:8" x14ac:dyDescent="0.3">
      <c r="A56">
        <v>14</v>
      </c>
      <c r="B56" t="s">
        <v>68</v>
      </c>
      <c r="C56" t="s">
        <v>12</v>
      </c>
      <c r="D56" t="s">
        <v>13</v>
      </c>
      <c r="F56" t="s">
        <v>13</v>
      </c>
      <c r="G56">
        <v>1</v>
      </c>
      <c r="H56">
        <v>0.83564639999531198</v>
      </c>
    </row>
    <row r="57" spans="1:8" x14ac:dyDescent="0.3">
      <c r="A57">
        <v>15</v>
      </c>
      <c r="B57" t="s">
        <v>73</v>
      </c>
      <c r="C57" t="s">
        <v>21</v>
      </c>
      <c r="D57" t="s">
        <v>22</v>
      </c>
      <c r="F57" t="s">
        <v>22</v>
      </c>
      <c r="G57">
        <v>1</v>
      </c>
      <c r="H57">
        <v>1.1794463999976801</v>
      </c>
    </row>
    <row r="58" spans="1:8" x14ac:dyDescent="0.3">
      <c r="A58">
        <v>16</v>
      </c>
      <c r="B58" t="s">
        <v>69</v>
      </c>
      <c r="C58" t="s">
        <v>8</v>
      </c>
      <c r="D58" t="s">
        <v>9</v>
      </c>
      <c r="F58" t="s">
        <v>9</v>
      </c>
      <c r="G58">
        <v>1</v>
      </c>
      <c r="H58">
        <v>1.23267690002103</v>
      </c>
    </row>
    <row r="59" spans="1:8" x14ac:dyDescent="0.3">
      <c r="A59">
        <v>17</v>
      </c>
      <c r="B59" t="s">
        <v>83</v>
      </c>
      <c r="C59" t="s">
        <v>17</v>
      </c>
      <c r="D59" t="s">
        <v>18</v>
      </c>
      <c r="F59" t="s">
        <v>18</v>
      </c>
      <c r="G59">
        <v>1</v>
      </c>
      <c r="H59">
        <v>1.501875499991</v>
      </c>
    </row>
    <row r="60" spans="1:8" x14ac:dyDescent="0.3">
      <c r="A60">
        <v>18</v>
      </c>
      <c r="B60" t="s">
        <v>58</v>
      </c>
      <c r="C60" t="s">
        <v>8</v>
      </c>
      <c r="D60" t="s">
        <v>9</v>
      </c>
      <c r="F60" t="s">
        <v>9</v>
      </c>
      <c r="G60">
        <v>1</v>
      </c>
      <c r="H60">
        <v>1.5783248000079699</v>
      </c>
    </row>
    <row r="61" spans="1:8" x14ac:dyDescent="0.3">
      <c r="A61">
        <v>19</v>
      </c>
      <c r="B61" t="s">
        <v>85</v>
      </c>
      <c r="C61" t="s">
        <v>21</v>
      </c>
      <c r="D61" t="s">
        <v>22</v>
      </c>
      <c r="F61" t="s">
        <v>22</v>
      </c>
      <c r="G61">
        <v>1</v>
      </c>
      <c r="H61">
        <v>0.89969810002367001</v>
      </c>
    </row>
    <row r="62" spans="1:8" x14ac:dyDescent="0.3">
      <c r="A62">
        <v>20</v>
      </c>
      <c r="B62" t="s">
        <v>91</v>
      </c>
      <c r="C62" t="s">
        <v>12</v>
      </c>
      <c r="D62" t="s">
        <v>13</v>
      </c>
      <c r="F62" t="s">
        <v>13</v>
      </c>
      <c r="G62">
        <v>1</v>
      </c>
      <c r="H62">
        <v>1.34674969999468</v>
      </c>
    </row>
    <row r="63" spans="1:8" x14ac:dyDescent="0.3">
      <c r="A63">
        <v>21</v>
      </c>
      <c r="B63" t="s">
        <v>89</v>
      </c>
      <c r="C63" t="s">
        <v>8</v>
      </c>
      <c r="D63" t="s">
        <v>9</v>
      </c>
      <c r="F63" t="s">
        <v>9</v>
      </c>
      <c r="G63">
        <v>1</v>
      </c>
      <c r="H63">
        <v>0.90849560001515695</v>
      </c>
    </row>
    <row r="64" spans="1:8" x14ac:dyDescent="0.3">
      <c r="A64">
        <v>22</v>
      </c>
      <c r="B64" t="s">
        <v>82</v>
      </c>
      <c r="C64" t="s">
        <v>12</v>
      </c>
      <c r="D64" t="s">
        <v>13</v>
      </c>
      <c r="F64" t="s">
        <v>13</v>
      </c>
      <c r="G64">
        <v>1</v>
      </c>
      <c r="H64">
        <v>0.99483879999024705</v>
      </c>
    </row>
    <row r="65" spans="1:8" x14ac:dyDescent="0.3">
      <c r="A65">
        <v>23</v>
      </c>
      <c r="B65" t="s">
        <v>74</v>
      </c>
      <c r="C65" t="s">
        <v>17</v>
      </c>
      <c r="D65" t="s">
        <v>18</v>
      </c>
      <c r="F65" t="s">
        <v>18</v>
      </c>
      <c r="G65">
        <v>1</v>
      </c>
      <c r="H65">
        <v>1.10480880000977</v>
      </c>
    </row>
    <row r="66" spans="1:8" x14ac:dyDescent="0.3">
      <c r="A66">
        <v>24</v>
      </c>
      <c r="B66" t="s">
        <v>60</v>
      </c>
      <c r="C66" t="s">
        <v>21</v>
      </c>
      <c r="D66" t="s">
        <v>22</v>
      </c>
      <c r="F66" t="s">
        <v>22</v>
      </c>
      <c r="G66">
        <v>1</v>
      </c>
      <c r="H66">
        <v>1.45735270000295</v>
      </c>
    </row>
    <row r="67" spans="1:8" x14ac:dyDescent="0.3">
      <c r="A67">
        <v>25</v>
      </c>
      <c r="B67" t="s">
        <v>54</v>
      </c>
      <c r="C67" t="s">
        <v>8</v>
      </c>
      <c r="D67" t="s">
        <v>9</v>
      </c>
      <c r="F67" t="s">
        <v>9</v>
      </c>
      <c r="G67">
        <v>1</v>
      </c>
      <c r="H67">
        <v>1.1858329999959001</v>
      </c>
    </row>
    <row r="68" spans="1:8" x14ac:dyDescent="0.3">
      <c r="A68">
        <v>26</v>
      </c>
      <c r="B68" t="s">
        <v>88</v>
      </c>
      <c r="C68" t="s">
        <v>21</v>
      </c>
      <c r="D68" t="s">
        <v>22</v>
      </c>
      <c r="F68" t="s">
        <v>22</v>
      </c>
      <c r="G68">
        <v>1</v>
      </c>
      <c r="H68">
        <v>1.5976771000132399</v>
      </c>
    </row>
    <row r="69" spans="1:8" x14ac:dyDescent="0.3">
      <c r="A69">
        <v>27</v>
      </c>
      <c r="B69" t="s">
        <v>76</v>
      </c>
      <c r="C69" t="s">
        <v>8</v>
      </c>
      <c r="D69" t="s">
        <v>9</v>
      </c>
      <c r="F69" t="s">
        <v>9</v>
      </c>
      <c r="G69">
        <v>1</v>
      </c>
      <c r="H69">
        <v>1.2361488000024099</v>
      </c>
    </row>
    <row r="70" spans="1:8" x14ac:dyDescent="0.3">
      <c r="A70">
        <v>28</v>
      </c>
      <c r="B70" t="s">
        <v>72</v>
      </c>
      <c r="C70" t="s">
        <v>17</v>
      </c>
      <c r="D70" t="s">
        <v>18</v>
      </c>
      <c r="F70" t="s">
        <v>18</v>
      </c>
      <c r="G70">
        <v>1</v>
      </c>
      <c r="H70">
        <v>1.0396361000020899</v>
      </c>
    </row>
    <row r="71" spans="1:8" x14ac:dyDescent="0.3">
      <c r="A71">
        <v>29</v>
      </c>
      <c r="B71" t="s">
        <v>62</v>
      </c>
      <c r="C71" t="s">
        <v>21</v>
      </c>
      <c r="D71" t="s">
        <v>22</v>
      </c>
      <c r="F71" t="s">
        <v>22</v>
      </c>
      <c r="G71">
        <v>1</v>
      </c>
      <c r="H71">
        <v>1.8272220999933699</v>
      </c>
    </row>
    <row r="72" spans="1:8" x14ac:dyDescent="0.3">
      <c r="A72">
        <v>30</v>
      </c>
      <c r="B72" t="s">
        <v>59</v>
      </c>
      <c r="C72" t="s">
        <v>12</v>
      </c>
      <c r="D72" t="s">
        <v>13</v>
      </c>
      <c r="F72" t="s">
        <v>13</v>
      </c>
      <c r="G72">
        <v>1</v>
      </c>
      <c r="H72">
        <v>0.76057399998535402</v>
      </c>
    </row>
    <row r="73" spans="1:8" x14ac:dyDescent="0.3">
      <c r="A73">
        <v>31</v>
      </c>
      <c r="B73" t="s">
        <v>78</v>
      </c>
      <c r="C73" t="s">
        <v>21</v>
      </c>
      <c r="D73" t="s">
        <v>22</v>
      </c>
      <c r="F73" t="s">
        <v>22</v>
      </c>
      <c r="G73">
        <v>1</v>
      </c>
      <c r="H73">
        <v>1.59487500000977</v>
      </c>
    </row>
    <row r="74" spans="1:8" x14ac:dyDescent="0.3">
      <c r="A74">
        <v>32</v>
      </c>
      <c r="B74" t="s">
        <v>80</v>
      </c>
      <c r="C74" t="s">
        <v>17</v>
      </c>
      <c r="D74" t="s">
        <v>18</v>
      </c>
      <c r="F74" t="s">
        <v>18</v>
      </c>
      <c r="G74">
        <v>1</v>
      </c>
      <c r="H74">
        <v>1.14311410000664</v>
      </c>
    </row>
    <row r="75" spans="1:8" x14ac:dyDescent="0.3">
      <c r="A75">
        <v>33</v>
      </c>
      <c r="B75" t="s">
        <v>65</v>
      </c>
      <c r="C75" t="s">
        <v>17</v>
      </c>
      <c r="D75" t="s">
        <v>18</v>
      </c>
      <c r="F75" t="s">
        <v>18</v>
      </c>
      <c r="G75">
        <v>1</v>
      </c>
      <c r="H75">
        <v>1.30404409999027</v>
      </c>
    </row>
    <row r="76" spans="1:8" x14ac:dyDescent="0.3">
      <c r="A76">
        <v>34</v>
      </c>
      <c r="B76" t="s">
        <v>84</v>
      </c>
      <c r="C76" t="s">
        <v>21</v>
      </c>
      <c r="D76" t="s">
        <v>22</v>
      </c>
      <c r="F76" t="s">
        <v>22</v>
      </c>
      <c r="G76">
        <v>1</v>
      </c>
      <c r="H76">
        <v>1.62393370000063</v>
      </c>
    </row>
    <row r="77" spans="1:8" x14ac:dyDescent="0.3">
      <c r="A77">
        <v>35</v>
      </c>
      <c r="B77" t="s">
        <v>90</v>
      </c>
      <c r="C77" t="s">
        <v>17</v>
      </c>
      <c r="D77" t="s">
        <v>18</v>
      </c>
      <c r="F77" t="s">
        <v>18</v>
      </c>
      <c r="G77">
        <v>1</v>
      </c>
      <c r="H77">
        <v>2.7928385000268401</v>
      </c>
    </row>
    <row r="78" spans="1:8" x14ac:dyDescent="0.3">
      <c r="A78">
        <v>36</v>
      </c>
      <c r="B78" t="s">
        <v>87</v>
      </c>
      <c r="C78" t="s">
        <v>12</v>
      </c>
      <c r="D78" t="s">
        <v>13</v>
      </c>
      <c r="F78" t="s">
        <v>13</v>
      </c>
      <c r="G78">
        <v>1</v>
      </c>
      <c r="H78">
        <v>0.97479810001095701</v>
      </c>
    </row>
    <row r="79" spans="1:8" x14ac:dyDescent="0.3">
      <c r="A79">
        <v>37</v>
      </c>
      <c r="B79" t="s">
        <v>79</v>
      </c>
      <c r="C79" t="s">
        <v>8</v>
      </c>
      <c r="D79" t="s">
        <v>9</v>
      </c>
      <c r="F79" t="s">
        <v>9</v>
      </c>
      <c r="G79">
        <v>1</v>
      </c>
      <c r="H79">
        <v>1.1364574999897701</v>
      </c>
    </row>
    <row r="81" spans="1:8" x14ac:dyDescent="0.3">
      <c r="A81">
        <v>0</v>
      </c>
      <c r="B81" t="s">
        <v>31</v>
      </c>
      <c r="C81" t="s">
        <v>8</v>
      </c>
      <c r="D81" t="s">
        <v>9</v>
      </c>
      <c r="F81" t="s">
        <v>9</v>
      </c>
      <c r="G81">
        <v>1</v>
      </c>
      <c r="H81">
        <v>1.2894107999745701</v>
      </c>
    </row>
    <row r="82" spans="1:8" x14ac:dyDescent="0.3">
      <c r="A82">
        <v>1</v>
      </c>
      <c r="B82" t="s">
        <v>35</v>
      </c>
      <c r="C82" t="s">
        <v>17</v>
      </c>
      <c r="D82" t="s">
        <v>18</v>
      </c>
      <c r="F82" t="s">
        <v>18</v>
      </c>
      <c r="G82">
        <v>1</v>
      </c>
      <c r="H82">
        <v>1.18180900000152</v>
      </c>
    </row>
    <row r="83" spans="1:8" x14ac:dyDescent="0.3">
      <c r="A83">
        <v>2</v>
      </c>
      <c r="B83" t="s">
        <v>29</v>
      </c>
      <c r="C83" t="s">
        <v>17</v>
      </c>
      <c r="D83" t="s">
        <v>18</v>
      </c>
      <c r="F83" t="s">
        <v>18</v>
      </c>
      <c r="G83">
        <v>1</v>
      </c>
      <c r="H83">
        <v>1.0337547000090099</v>
      </c>
    </row>
    <row r="84" spans="1:8" x14ac:dyDescent="0.3">
      <c r="A84">
        <v>3</v>
      </c>
      <c r="B84" t="s">
        <v>23</v>
      </c>
      <c r="C84" t="s">
        <v>17</v>
      </c>
      <c r="D84" t="s">
        <v>18</v>
      </c>
      <c r="F84" t="s">
        <v>18</v>
      </c>
      <c r="G84">
        <v>1</v>
      </c>
      <c r="H84">
        <v>0.58029919999535196</v>
      </c>
    </row>
    <row r="85" spans="1:8" x14ac:dyDescent="0.3">
      <c r="A85">
        <v>4</v>
      </c>
      <c r="B85" t="s">
        <v>30</v>
      </c>
      <c r="C85" t="s">
        <v>8</v>
      </c>
      <c r="D85" t="s">
        <v>9</v>
      </c>
      <c r="F85" t="s">
        <v>9</v>
      </c>
      <c r="G85">
        <v>1</v>
      </c>
      <c r="H85">
        <v>1.2247104000125499</v>
      </c>
    </row>
    <row r="86" spans="1:8" x14ac:dyDescent="0.3">
      <c r="A86">
        <v>5</v>
      </c>
      <c r="B86" t="s">
        <v>27</v>
      </c>
      <c r="C86" t="s">
        <v>21</v>
      </c>
      <c r="D86" t="s">
        <v>22</v>
      </c>
      <c r="F86" t="s">
        <v>22</v>
      </c>
      <c r="G86">
        <v>1</v>
      </c>
      <c r="H86">
        <v>1.13556639998569</v>
      </c>
    </row>
    <row r="87" spans="1:8" x14ac:dyDescent="0.3">
      <c r="A87">
        <v>6</v>
      </c>
      <c r="B87" t="s">
        <v>44</v>
      </c>
      <c r="C87" t="s">
        <v>12</v>
      </c>
      <c r="D87" t="s">
        <v>13</v>
      </c>
      <c r="F87" t="s">
        <v>13</v>
      </c>
      <c r="G87">
        <v>1</v>
      </c>
      <c r="H87">
        <v>1.5954703000024799</v>
      </c>
    </row>
    <row r="88" spans="1:8" x14ac:dyDescent="0.3">
      <c r="A88">
        <v>7</v>
      </c>
      <c r="B88" t="s">
        <v>15</v>
      </c>
      <c r="C88" t="s">
        <v>12</v>
      </c>
      <c r="D88" t="s">
        <v>13</v>
      </c>
      <c r="F88" t="s">
        <v>13</v>
      </c>
      <c r="G88">
        <v>1</v>
      </c>
      <c r="H88">
        <v>0.56448749999981296</v>
      </c>
    </row>
    <row r="89" spans="1:8" x14ac:dyDescent="0.3">
      <c r="A89">
        <v>8</v>
      </c>
      <c r="B89" t="s">
        <v>19</v>
      </c>
      <c r="C89" t="s">
        <v>12</v>
      </c>
      <c r="D89" t="s">
        <v>13</v>
      </c>
      <c r="F89" t="s">
        <v>13</v>
      </c>
      <c r="G89">
        <v>1</v>
      </c>
      <c r="H89">
        <v>0.47959460000856702</v>
      </c>
    </row>
    <row r="90" spans="1:8" x14ac:dyDescent="0.3">
      <c r="A90">
        <v>9</v>
      </c>
      <c r="B90" t="s">
        <v>16</v>
      </c>
      <c r="C90" t="s">
        <v>17</v>
      </c>
      <c r="D90" t="s">
        <v>18</v>
      </c>
      <c r="F90" t="s">
        <v>18</v>
      </c>
      <c r="G90">
        <v>1</v>
      </c>
      <c r="H90">
        <v>1.1317318000073999</v>
      </c>
    </row>
    <row r="91" spans="1:8" x14ac:dyDescent="0.3">
      <c r="A91">
        <v>10</v>
      </c>
      <c r="B91" t="s">
        <v>14</v>
      </c>
      <c r="C91" t="s">
        <v>8</v>
      </c>
      <c r="D91" t="s">
        <v>9</v>
      </c>
      <c r="F91" t="s">
        <v>9</v>
      </c>
      <c r="G91">
        <v>1</v>
      </c>
      <c r="H91">
        <v>1.0259641000011399</v>
      </c>
    </row>
    <row r="92" spans="1:8" hidden="1" x14ac:dyDescent="0.3">
      <c r="A92">
        <v>11</v>
      </c>
      <c r="B92" t="s">
        <v>42</v>
      </c>
      <c r="C92" t="s">
        <v>12</v>
      </c>
      <c r="D92" t="s">
        <v>13</v>
      </c>
      <c r="F92" t="s">
        <v>9</v>
      </c>
      <c r="G92" s="1">
        <v>0</v>
      </c>
      <c r="H92">
        <v>0.52300279997871202</v>
      </c>
    </row>
    <row r="93" spans="1:8" x14ac:dyDescent="0.3">
      <c r="A93">
        <v>12</v>
      </c>
      <c r="B93" t="s">
        <v>20</v>
      </c>
      <c r="C93" t="s">
        <v>21</v>
      </c>
      <c r="D93" t="s">
        <v>22</v>
      </c>
      <c r="F93" t="s">
        <v>22</v>
      </c>
      <c r="G93">
        <v>1</v>
      </c>
      <c r="H93">
        <v>1.09684260000358</v>
      </c>
    </row>
    <row r="94" spans="1:8" x14ac:dyDescent="0.3">
      <c r="A94">
        <v>13</v>
      </c>
      <c r="B94" t="s">
        <v>92</v>
      </c>
      <c r="C94" t="s">
        <v>17</v>
      </c>
      <c r="D94" t="s">
        <v>18</v>
      </c>
      <c r="F94" t="s">
        <v>18</v>
      </c>
      <c r="G94">
        <v>1</v>
      </c>
      <c r="H94">
        <v>0.98394059998099603</v>
      </c>
    </row>
    <row r="95" spans="1:8" x14ac:dyDescent="0.3">
      <c r="A95">
        <v>14</v>
      </c>
      <c r="B95" t="s">
        <v>11</v>
      </c>
      <c r="C95" t="s">
        <v>12</v>
      </c>
      <c r="D95" t="s">
        <v>13</v>
      </c>
      <c r="F95" t="s">
        <v>13</v>
      </c>
      <c r="G95">
        <v>1</v>
      </c>
      <c r="H95">
        <v>0.70326529999147103</v>
      </c>
    </row>
    <row r="96" spans="1:8" x14ac:dyDescent="0.3">
      <c r="A96">
        <v>15</v>
      </c>
      <c r="B96" t="s">
        <v>36</v>
      </c>
      <c r="C96" t="s">
        <v>8</v>
      </c>
      <c r="D96" t="s">
        <v>9</v>
      </c>
      <c r="F96" t="s">
        <v>9</v>
      </c>
      <c r="G96">
        <v>1</v>
      </c>
      <c r="H96">
        <v>1.13793959998292</v>
      </c>
    </row>
    <row r="97" spans="1:8" x14ac:dyDescent="0.3">
      <c r="A97">
        <v>16</v>
      </c>
      <c r="B97" t="s">
        <v>51</v>
      </c>
      <c r="C97" t="s">
        <v>8</v>
      </c>
      <c r="D97" t="s">
        <v>9</v>
      </c>
      <c r="F97" t="s">
        <v>9</v>
      </c>
      <c r="G97">
        <v>1</v>
      </c>
      <c r="H97">
        <v>0.48499160000937902</v>
      </c>
    </row>
    <row r="98" spans="1:8" x14ac:dyDescent="0.3">
      <c r="A98">
        <v>17</v>
      </c>
      <c r="B98" t="s">
        <v>39</v>
      </c>
      <c r="C98" t="s">
        <v>12</v>
      </c>
      <c r="D98" t="s">
        <v>13</v>
      </c>
      <c r="F98" t="s">
        <v>13</v>
      </c>
      <c r="G98">
        <v>1</v>
      </c>
      <c r="H98">
        <v>0.65651080000679896</v>
      </c>
    </row>
    <row r="99" spans="1:8" x14ac:dyDescent="0.3">
      <c r="A99">
        <v>18</v>
      </c>
      <c r="B99" t="s">
        <v>53</v>
      </c>
      <c r="C99" t="s">
        <v>12</v>
      </c>
      <c r="D99" t="s">
        <v>13</v>
      </c>
      <c r="F99" t="s">
        <v>13</v>
      </c>
      <c r="G99">
        <v>1</v>
      </c>
      <c r="H99">
        <v>0.60833280000951995</v>
      </c>
    </row>
    <row r="100" spans="1:8" x14ac:dyDescent="0.3">
      <c r="A100">
        <v>19</v>
      </c>
      <c r="B100" t="s">
        <v>37</v>
      </c>
      <c r="C100" t="s">
        <v>8</v>
      </c>
      <c r="D100" t="s">
        <v>9</v>
      </c>
      <c r="F100" t="s">
        <v>9</v>
      </c>
      <c r="G100">
        <v>1</v>
      </c>
      <c r="H100">
        <v>0.79772509998292596</v>
      </c>
    </row>
    <row r="101" spans="1:8" x14ac:dyDescent="0.3">
      <c r="A101">
        <v>20</v>
      </c>
      <c r="B101" t="s">
        <v>50</v>
      </c>
      <c r="C101" t="s">
        <v>21</v>
      </c>
      <c r="D101" t="s">
        <v>22</v>
      </c>
      <c r="F101" t="s">
        <v>22</v>
      </c>
      <c r="G101">
        <v>1</v>
      </c>
      <c r="H101">
        <v>1.2687144000083199</v>
      </c>
    </row>
    <row r="102" spans="1:8" x14ac:dyDescent="0.3">
      <c r="A102">
        <v>21</v>
      </c>
      <c r="B102" t="s">
        <v>52</v>
      </c>
      <c r="C102" t="s">
        <v>17</v>
      </c>
      <c r="D102" t="s">
        <v>18</v>
      </c>
      <c r="F102" t="s">
        <v>18</v>
      </c>
      <c r="G102">
        <v>1</v>
      </c>
      <c r="H102">
        <v>1.30403920001117</v>
      </c>
    </row>
    <row r="103" spans="1:8" x14ac:dyDescent="0.3">
      <c r="A103">
        <v>22</v>
      </c>
      <c r="B103" t="s">
        <v>38</v>
      </c>
      <c r="C103" t="s">
        <v>21</v>
      </c>
      <c r="D103" t="s">
        <v>22</v>
      </c>
      <c r="F103" t="s">
        <v>22</v>
      </c>
      <c r="G103">
        <v>1</v>
      </c>
      <c r="H103">
        <v>1.1825801000231799</v>
      </c>
    </row>
    <row r="104" spans="1:8" x14ac:dyDescent="0.3">
      <c r="A104">
        <v>23</v>
      </c>
      <c r="B104" t="s">
        <v>25</v>
      </c>
      <c r="C104" t="s">
        <v>21</v>
      </c>
      <c r="D104" t="s">
        <v>22</v>
      </c>
      <c r="F104" t="s">
        <v>22</v>
      </c>
      <c r="G104">
        <v>1</v>
      </c>
      <c r="H104">
        <v>0.71771260001696602</v>
      </c>
    </row>
    <row r="105" spans="1:8" x14ac:dyDescent="0.3">
      <c r="A105">
        <v>24</v>
      </c>
      <c r="B105" t="s">
        <v>33</v>
      </c>
      <c r="C105" t="s">
        <v>8</v>
      </c>
      <c r="D105" t="s">
        <v>9</v>
      </c>
      <c r="F105" t="s">
        <v>9</v>
      </c>
      <c r="G105">
        <v>1</v>
      </c>
      <c r="H105">
        <v>0.96919120001257397</v>
      </c>
    </row>
    <row r="106" spans="1:8" x14ac:dyDescent="0.3">
      <c r="A106">
        <v>25</v>
      </c>
      <c r="B106" t="s">
        <v>7</v>
      </c>
      <c r="C106" t="s">
        <v>8</v>
      </c>
      <c r="D106" t="s">
        <v>9</v>
      </c>
      <c r="F106" t="s">
        <v>9</v>
      </c>
      <c r="G106">
        <v>1</v>
      </c>
      <c r="H106">
        <v>2.4420252999989298</v>
      </c>
    </row>
    <row r="107" spans="1:8" x14ac:dyDescent="0.3">
      <c r="A107">
        <v>26</v>
      </c>
      <c r="B107" t="s">
        <v>40</v>
      </c>
      <c r="C107" t="s">
        <v>8</v>
      </c>
      <c r="D107" t="s">
        <v>9</v>
      </c>
      <c r="F107" t="s">
        <v>9</v>
      </c>
      <c r="G107">
        <v>1</v>
      </c>
      <c r="H107">
        <v>0.84696049999911305</v>
      </c>
    </row>
    <row r="108" spans="1:8" x14ac:dyDescent="0.3">
      <c r="A108">
        <v>27</v>
      </c>
      <c r="B108" t="s">
        <v>32</v>
      </c>
      <c r="C108" t="s">
        <v>17</v>
      </c>
      <c r="D108" t="s">
        <v>18</v>
      </c>
      <c r="F108" t="s">
        <v>18</v>
      </c>
      <c r="G108">
        <v>1</v>
      </c>
      <c r="H108">
        <v>2.35104079998563</v>
      </c>
    </row>
    <row r="109" spans="1:8" x14ac:dyDescent="0.3">
      <c r="A109">
        <v>28</v>
      </c>
      <c r="B109" t="s">
        <v>24</v>
      </c>
      <c r="C109" t="s">
        <v>21</v>
      </c>
      <c r="D109" t="s">
        <v>22</v>
      </c>
      <c r="F109" t="s">
        <v>22</v>
      </c>
      <c r="G109">
        <v>1</v>
      </c>
      <c r="H109">
        <v>3.9343750000116402</v>
      </c>
    </row>
    <row r="110" spans="1:8" x14ac:dyDescent="0.3">
      <c r="A110">
        <v>29</v>
      </c>
      <c r="B110" t="s">
        <v>48</v>
      </c>
      <c r="C110" t="s">
        <v>12</v>
      </c>
      <c r="D110" t="s">
        <v>13</v>
      </c>
      <c r="F110" t="s">
        <v>13</v>
      </c>
      <c r="G110">
        <v>1</v>
      </c>
      <c r="H110">
        <v>4.7618699000158804</v>
      </c>
    </row>
    <row r="111" spans="1:8" x14ac:dyDescent="0.3">
      <c r="A111">
        <v>30</v>
      </c>
      <c r="B111" t="s">
        <v>46</v>
      </c>
      <c r="C111" t="s">
        <v>21</v>
      </c>
      <c r="D111" t="s">
        <v>22</v>
      </c>
      <c r="F111" t="s">
        <v>22</v>
      </c>
      <c r="G111">
        <v>1</v>
      </c>
      <c r="H111">
        <v>3.7397824999934501</v>
      </c>
    </row>
    <row r="112" spans="1:8" x14ac:dyDescent="0.3">
      <c r="A112">
        <v>31</v>
      </c>
      <c r="B112" t="s">
        <v>34</v>
      </c>
      <c r="C112" t="s">
        <v>17</v>
      </c>
      <c r="D112" t="s">
        <v>18</v>
      </c>
      <c r="F112" t="s">
        <v>18</v>
      </c>
      <c r="G112">
        <v>1</v>
      </c>
      <c r="H112">
        <v>1.2493814000044901</v>
      </c>
    </row>
    <row r="113" spans="1:8" x14ac:dyDescent="0.3">
      <c r="A113">
        <v>32</v>
      </c>
      <c r="B113" t="s">
        <v>43</v>
      </c>
      <c r="C113" t="s">
        <v>21</v>
      </c>
      <c r="D113" t="s">
        <v>22</v>
      </c>
      <c r="F113" t="s">
        <v>22</v>
      </c>
      <c r="G113">
        <v>1</v>
      </c>
      <c r="H113">
        <v>1.5874187000154001</v>
      </c>
    </row>
    <row r="114" spans="1:8" x14ac:dyDescent="0.3">
      <c r="A114">
        <v>33</v>
      </c>
      <c r="B114" t="s">
        <v>41</v>
      </c>
      <c r="C114" t="s">
        <v>21</v>
      </c>
      <c r="D114" t="s">
        <v>22</v>
      </c>
      <c r="F114" t="s">
        <v>22</v>
      </c>
      <c r="G114">
        <v>1</v>
      </c>
      <c r="H114">
        <v>0.92744620001758404</v>
      </c>
    </row>
    <row r="115" spans="1:8" x14ac:dyDescent="0.3">
      <c r="A115">
        <v>34</v>
      </c>
      <c r="B115" t="s">
        <v>26</v>
      </c>
      <c r="C115" t="s">
        <v>12</v>
      </c>
      <c r="D115" t="s">
        <v>13</v>
      </c>
      <c r="F115" t="s">
        <v>13</v>
      </c>
      <c r="G115">
        <v>1</v>
      </c>
      <c r="H115">
        <v>0.99841099997865901</v>
      </c>
    </row>
    <row r="116" spans="1:8" x14ac:dyDescent="0.3">
      <c r="A116">
        <v>35</v>
      </c>
      <c r="B116" t="s">
        <v>47</v>
      </c>
      <c r="C116" t="s">
        <v>8</v>
      </c>
      <c r="D116" t="s">
        <v>9</v>
      </c>
      <c r="F116" t="s">
        <v>9</v>
      </c>
      <c r="G116">
        <v>1</v>
      </c>
      <c r="H116">
        <v>1.54819290002342</v>
      </c>
    </row>
    <row r="117" spans="1:8" x14ac:dyDescent="0.3">
      <c r="A117">
        <v>36</v>
      </c>
      <c r="B117" t="s">
        <v>45</v>
      </c>
      <c r="C117" t="s">
        <v>21</v>
      </c>
      <c r="D117" t="s">
        <v>22</v>
      </c>
      <c r="F117" t="s">
        <v>22</v>
      </c>
      <c r="G117">
        <v>1</v>
      </c>
      <c r="H117">
        <v>1.35016970001743</v>
      </c>
    </row>
    <row r="118" spans="1:8" x14ac:dyDescent="0.3">
      <c r="A118">
        <v>37</v>
      </c>
      <c r="B118" t="s">
        <v>49</v>
      </c>
      <c r="C118" t="s">
        <v>17</v>
      </c>
      <c r="D118" t="s">
        <v>18</v>
      </c>
      <c r="F118" t="s">
        <v>18</v>
      </c>
      <c r="G118">
        <v>1</v>
      </c>
      <c r="H118">
        <v>1.1011880000005401</v>
      </c>
    </row>
  </sheetData>
  <autoFilter ref="G80:G118">
    <filterColumn colId="0">
      <filters>
        <filter val="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9"/>
  <sheetViews>
    <sheetView topLeftCell="D1" workbookViewId="0">
      <selection activeCell="N1" sqref="N1"/>
    </sheetView>
  </sheetViews>
  <sheetFormatPr defaultRowHeight="14.4" x14ac:dyDescent="0.3"/>
  <sheetData>
    <row r="1" spans="1:74" x14ac:dyDescent="0.3">
      <c r="A1" t="s">
        <v>0</v>
      </c>
      <c r="B1" t="s">
        <v>1</v>
      </c>
      <c r="C1" t="s">
        <v>2</v>
      </c>
      <c r="D1" t="s">
        <v>101</v>
      </c>
      <c r="E1" t="s">
        <v>4</v>
      </c>
      <c r="F1" t="s">
        <v>5</v>
      </c>
      <c r="G1" t="s">
        <v>102</v>
      </c>
      <c r="H1" t="s">
        <v>6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140</v>
      </c>
    </row>
    <row r="2" spans="1:74" x14ac:dyDescent="0.3">
      <c r="BO2" t="s">
        <v>145</v>
      </c>
      <c r="BP2">
        <v>1</v>
      </c>
      <c r="BQ2" t="s">
        <v>146</v>
      </c>
      <c r="BR2" t="s">
        <v>143</v>
      </c>
      <c r="BT2" t="s">
        <v>144</v>
      </c>
      <c r="BU2">
        <v>59.541352966157298</v>
      </c>
      <c r="BV2" t="s">
        <v>147</v>
      </c>
    </row>
    <row r="3" spans="1:74" x14ac:dyDescent="0.3">
      <c r="A3">
        <v>0</v>
      </c>
      <c r="B3" t="s">
        <v>37</v>
      </c>
      <c r="C3" t="s">
        <v>8</v>
      </c>
      <c r="D3" t="s">
        <v>9</v>
      </c>
      <c r="E3" t="s">
        <v>10</v>
      </c>
      <c r="F3" t="s">
        <v>9</v>
      </c>
      <c r="G3">
        <v>1</v>
      </c>
      <c r="H3">
        <v>0.49469150000368201</v>
      </c>
      <c r="BO3" t="s">
        <v>145</v>
      </c>
      <c r="BP3">
        <v>1</v>
      </c>
      <c r="BQ3" t="s">
        <v>146</v>
      </c>
      <c r="BR3" t="s">
        <v>143</v>
      </c>
      <c r="BT3" t="s">
        <v>144</v>
      </c>
      <c r="BU3">
        <v>59.541352966157298</v>
      </c>
      <c r="BV3" t="s">
        <v>147</v>
      </c>
    </row>
    <row r="4" spans="1:74" x14ac:dyDescent="0.3">
      <c r="A4">
        <v>1</v>
      </c>
      <c r="B4" t="s">
        <v>36</v>
      </c>
      <c r="C4" t="s">
        <v>8</v>
      </c>
      <c r="D4" t="s">
        <v>9</v>
      </c>
      <c r="E4" t="s">
        <v>10</v>
      </c>
      <c r="F4" t="s">
        <v>9</v>
      </c>
      <c r="G4">
        <v>1</v>
      </c>
      <c r="H4">
        <v>0.69085590000031505</v>
      </c>
      <c r="BO4" t="s">
        <v>145</v>
      </c>
      <c r="BP4">
        <v>1</v>
      </c>
      <c r="BQ4" t="s">
        <v>146</v>
      </c>
      <c r="BR4" t="s">
        <v>143</v>
      </c>
      <c r="BT4" t="s">
        <v>144</v>
      </c>
      <c r="BU4">
        <v>59.541352966157298</v>
      </c>
      <c r="BV4" t="s">
        <v>147</v>
      </c>
    </row>
    <row r="5" spans="1:74" x14ac:dyDescent="0.3">
      <c r="A5">
        <v>2</v>
      </c>
      <c r="B5" t="s">
        <v>15</v>
      </c>
      <c r="C5" t="s">
        <v>12</v>
      </c>
      <c r="D5" t="s">
        <v>13</v>
      </c>
      <c r="E5" t="s">
        <v>10</v>
      </c>
      <c r="F5" t="s">
        <v>13</v>
      </c>
      <c r="G5">
        <v>1</v>
      </c>
      <c r="H5">
        <v>1.1606701000127899</v>
      </c>
      <c r="BO5" t="s">
        <v>145</v>
      </c>
      <c r="BP5">
        <v>1</v>
      </c>
      <c r="BQ5" t="s">
        <v>146</v>
      </c>
      <c r="BR5" t="s">
        <v>143</v>
      </c>
      <c r="BT5" t="s">
        <v>144</v>
      </c>
      <c r="BU5">
        <v>59.541352966157298</v>
      </c>
      <c r="BV5" t="s">
        <v>147</v>
      </c>
    </row>
    <row r="6" spans="1:74" x14ac:dyDescent="0.3">
      <c r="A6">
        <v>3</v>
      </c>
      <c r="B6" t="s">
        <v>48</v>
      </c>
      <c r="C6" t="s">
        <v>12</v>
      </c>
      <c r="D6" t="s">
        <v>13</v>
      </c>
      <c r="E6" t="s">
        <v>10</v>
      </c>
      <c r="F6" t="s">
        <v>13</v>
      </c>
      <c r="G6">
        <v>1</v>
      </c>
      <c r="H6">
        <v>0.60703240000293501</v>
      </c>
      <c r="BO6" t="s">
        <v>145</v>
      </c>
      <c r="BP6">
        <v>1</v>
      </c>
      <c r="BQ6" t="s">
        <v>146</v>
      </c>
      <c r="BR6" t="s">
        <v>143</v>
      </c>
      <c r="BT6" t="s">
        <v>144</v>
      </c>
      <c r="BU6">
        <v>59.541352966157298</v>
      </c>
      <c r="BV6" t="s">
        <v>147</v>
      </c>
    </row>
    <row r="7" spans="1:74" x14ac:dyDescent="0.3">
      <c r="A7">
        <v>4</v>
      </c>
      <c r="B7" t="s">
        <v>41</v>
      </c>
      <c r="C7" t="s">
        <v>21</v>
      </c>
      <c r="D7" t="s">
        <v>22</v>
      </c>
      <c r="E7" t="s">
        <v>10</v>
      </c>
      <c r="F7" t="s">
        <v>22</v>
      </c>
      <c r="G7">
        <v>1</v>
      </c>
      <c r="H7">
        <v>0.37108439998701198</v>
      </c>
      <c r="J7" t="s">
        <v>93</v>
      </c>
      <c r="K7" t="s">
        <v>97</v>
      </c>
      <c r="BO7" t="s">
        <v>145</v>
      </c>
      <c r="BP7">
        <v>1</v>
      </c>
      <c r="BQ7" t="s">
        <v>146</v>
      </c>
      <c r="BR7" t="s">
        <v>143</v>
      </c>
      <c r="BT7" t="s">
        <v>144</v>
      </c>
      <c r="BU7">
        <v>59.541352966157298</v>
      </c>
      <c r="BV7" t="s">
        <v>147</v>
      </c>
    </row>
    <row r="8" spans="1:74" x14ac:dyDescent="0.3">
      <c r="A8">
        <v>5</v>
      </c>
      <c r="B8" t="s">
        <v>29</v>
      </c>
      <c r="C8" t="s">
        <v>17</v>
      </c>
      <c r="D8" t="s">
        <v>18</v>
      </c>
      <c r="E8" t="s">
        <v>10</v>
      </c>
      <c r="F8" t="s">
        <v>18</v>
      </c>
      <c r="G8">
        <v>1</v>
      </c>
      <c r="H8">
        <v>0.65087459998903796</v>
      </c>
      <c r="J8" t="s">
        <v>94</v>
      </c>
      <c r="K8">
        <f>AVERAGE(H3:H40)</f>
        <v>0.70119341578959504</v>
      </c>
      <c r="L8">
        <f>AVERAGE(H3:H40)</f>
        <v>0.70119341578959504</v>
      </c>
      <c r="BO8" t="s">
        <v>145</v>
      </c>
      <c r="BP8">
        <v>1</v>
      </c>
      <c r="BQ8" t="s">
        <v>146</v>
      </c>
      <c r="BR8" t="s">
        <v>143</v>
      </c>
      <c r="BT8" t="s">
        <v>144</v>
      </c>
      <c r="BU8">
        <v>59.541352966157298</v>
      </c>
      <c r="BV8" t="s">
        <v>147</v>
      </c>
    </row>
    <row r="9" spans="1:74" x14ac:dyDescent="0.3">
      <c r="A9">
        <v>6</v>
      </c>
      <c r="B9" t="s">
        <v>39</v>
      </c>
      <c r="C9" t="s">
        <v>12</v>
      </c>
      <c r="D9" t="s">
        <v>13</v>
      </c>
      <c r="E9" t="s">
        <v>10</v>
      </c>
      <c r="F9" t="s">
        <v>13</v>
      </c>
      <c r="G9">
        <v>1</v>
      </c>
      <c r="H9">
        <v>0.72262119999504604</v>
      </c>
      <c r="J9" t="s">
        <v>95</v>
      </c>
      <c r="K9">
        <f>AVERAGE(H42:H79)</f>
        <v>0.68028609736938928</v>
      </c>
      <c r="L9">
        <f>AVERAGE(H42:H79)</f>
        <v>0.68028609736938928</v>
      </c>
      <c r="BO9" t="s">
        <v>145</v>
      </c>
      <c r="BP9">
        <v>1</v>
      </c>
      <c r="BQ9" t="s">
        <v>146</v>
      </c>
      <c r="BR9" t="s">
        <v>143</v>
      </c>
      <c r="BT9" t="s">
        <v>144</v>
      </c>
      <c r="BU9">
        <v>59.541352966157298</v>
      </c>
      <c r="BV9" t="s">
        <v>147</v>
      </c>
    </row>
    <row r="10" spans="1:74" x14ac:dyDescent="0.3">
      <c r="A10">
        <v>7</v>
      </c>
      <c r="B10" t="s">
        <v>26</v>
      </c>
      <c r="C10" t="s">
        <v>12</v>
      </c>
      <c r="D10" t="s">
        <v>13</v>
      </c>
      <c r="E10" t="s">
        <v>10</v>
      </c>
      <c r="F10" t="s">
        <v>13</v>
      </c>
      <c r="G10">
        <v>1</v>
      </c>
      <c r="H10">
        <v>0.70420139998896003</v>
      </c>
      <c r="J10" t="s">
        <v>96</v>
      </c>
      <c r="K10">
        <f>AVERAGE(H81:H118)</f>
        <v>0.80316453947422106</v>
      </c>
      <c r="L10">
        <f>AVERAGE(H81:H118)</f>
        <v>0.80316453947422106</v>
      </c>
      <c r="BO10" t="s">
        <v>145</v>
      </c>
      <c r="BP10">
        <v>1</v>
      </c>
      <c r="BQ10" t="s">
        <v>146</v>
      </c>
      <c r="BR10" t="s">
        <v>143</v>
      </c>
      <c r="BT10" t="s">
        <v>144</v>
      </c>
      <c r="BU10">
        <v>59.541352966157298</v>
      </c>
      <c r="BV10" t="s">
        <v>147</v>
      </c>
    </row>
    <row r="11" spans="1:74" x14ac:dyDescent="0.3">
      <c r="A11">
        <v>8</v>
      </c>
      <c r="B11" t="s">
        <v>32</v>
      </c>
      <c r="C11" t="s">
        <v>17</v>
      </c>
      <c r="D11" t="s">
        <v>18</v>
      </c>
      <c r="E11" t="s">
        <v>10</v>
      </c>
      <c r="F11" t="s">
        <v>18</v>
      </c>
      <c r="G11">
        <v>1</v>
      </c>
      <c r="H11">
        <v>0.89953039999818396</v>
      </c>
      <c r="BO11" t="s">
        <v>145</v>
      </c>
      <c r="BP11">
        <v>1</v>
      </c>
      <c r="BQ11" t="s">
        <v>146</v>
      </c>
      <c r="BR11" t="s">
        <v>143</v>
      </c>
      <c r="BT11" t="s">
        <v>144</v>
      </c>
      <c r="BU11">
        <v>59.541352966157298</v>
      </c>
      <c r="BV11" t="s">
        <v>147</v>
      </c>
    </row>
    <row r="12" spans="1:74" x14ac:dyDescent="0.3">
      <c r="A12">
        <v>9</v>
      </c>
      <c r="B12" t="s">
        <v>31</v>
      </c>
      <c r="C12" t="s">
        <v>8</v>
      </c>
      <c r="D12" t="s">
        <v>9</v>
      </c>
      <c r="E12" t="s">
        <v>10</v>
      </c>
      <c r="F12" t="s">
        <v>9</v>
      </c>
      <c r="G12">
        <v>1</v>
      </c>
      <c r="H12">
        <v>0.70315590000245698</v>
      </c>
      <c r="BO12" t="s">
        <v>145</v>
      </c>
      <c r="BP12">
        <v>1</v>
      </c>
      <c r="BQ12" t="s">
        <v>146</v>
      </c>
      <c r="BR12" t="s">
        <v>143</v>
      </c>
      <c r="BT12" t="s">
        <v>144</v>
      </c>
      <c r="BU12">
        <v>59.541352966157298</v>
      </c>
      <c r="BV12" t="s">
        <v>147</v>
      </c>
    </row>
    <row r="13" spans="1:74" x14ac:dyDescent="0.3">
      <c r="A13">
        <v>10</v>
      </c>
      <c r="B13" t="s">
        <v>45</v>
      </c>
      <c r="C13" t="s">
        <v>21</v>
      </c>
      <c r="D13" t="s">
        <v>22</v>
      </c>
      <c r="E13" t="s">
        <v>10</v>
      </c>
      <c r="F13" t="s">
        <v>22</v>
      </c>
      <c r="G13">
        <v>1</v>
      </c>
      <c r="H13">
        <v>0.40688550000777401</v>
      </c>
      <c r="BO13" t="s">
        <v>145</v>
      </c>
      <c r="BP13">
        <v>1</v>
      </c>
      <c r="BQ13" t="s">
        <v>146</v>
      </c>
      <c r="BR13" t="s">
        <v>143</v>
      </c>
      <c r="BT13" t="s">
        <v>144</v>
      </c>
      <c r="BU13">
        <v>59.541352966157298</v>
      </c>
      <c r="BV13" t="s">
        <v>147</v>
      </c>
    </row>
    <row r="14" spans="1:74" x14ac:dyDescent="0.3">
      <c r="A14">
        <v>11</v>
      </c>
      <c r="B14" t="s">
        <v>35</v>
      </c>
      <c r="C14" t="s">
        <v>17</v>
      </c>
      <c r="D14" t="s">
        <v>18</v>
      </c>
      <c r="E14" t="s">
        <v>10</v>
      </c>
      <c r="F14" t="s">
        <v>18</v>
      </c>
      <c r="G14">
        <v>1</v>
      </c>
      <c r="H14">
        <v>0.68998809999902699</v>
      </c>
      <c r="J14" t="s">
        <v>98</v>
      </c>
      <c r="K14">
        <f>K9-K8</f>
        <v>-2.0907318420205767E-2</v>
      </c>
      <c r="BO14" t="s">
        <v>145</v>
      </c>
      <c r="BP14">
        <v>1</v>
      </c>
      <c r="BQ14" t="s">
        <v>146</v>
      </c>
      <c r="BR14" t="s">
        <v>143</v>
      </c>
      <c r="BT14" t="s">
        <v>144</v>
      </c>
      <c r="BU14">
        <v>59.541352966157298</v>
      </c>
      <c r="BV14" t="s">
        <v>147</v>
      </c>
    </row>
    <row r="15" spans="1:74" x14ac:dyDescent="0.3">
      <c r="A15">
        <v>12</v>
      </c>
      <c r="B15" t="s">
        <v>42</v>
      </c>
      <c r="C15" t="s">
        <v>12</v>
      </c>
      <c r="D15" t="s">
        <v>13</v>
      </c>
      <c r="E15" t="s">
        <v>10</v>
      </c>
      <c r="F15" t="s">
        <v>13</v>
      </c>
      <c r="G15">
        <v>1</v>
      </c>
      <c r="H15">
        <v>0.61812500000814896</v>
      </c>
      <c r="BO15" t="s">
        <v>145</v>
      </c>
      <c r="BP15">
        <v>1</v>
      </c>
      <c r="BQ15" t="s">
        <v>146</v>
      </c>
      <c r="BR15" t="s">
        <v>143</v>
      </c>
      <c r="BT15" t="s">
        <v>144</v>
      </c>
      <c r="BU15">
        <v>59.541352966157298</v>
      </c>
      <c r="BV15" t="s">
        <v>147</v>
      </c>
    </row>
    <row r="16" spans="1:74" x14ac:dyDescent="0.3">
      <c r="A16">
        <v>13</v>
      </c>
      <c r="B16" t="s">
        <v>44</v>
      </c>
      <c r="C16" t="s">
        <v>12</v>
      </c>
      <c r="D16" t="s">
        <v>13</v>
      </c>
      <c r="E16" t="s">
        <v>10</v>
      </c>
      <c r="F16" t="s">
        <v>13</v>
      </c>
      <c r="G16">
        <v>1</v>
      </c>
      <c r="H16">
        <v>0.55605760001344595</v>
      </c>
      <c r="J16" t="s">
        <v>99</v>
      </c>
      <c r="K16">
        <f>K9-K10</f>
        <v>-0.12287844210483179</v>
      </c>
      <c r="BO16" t="s">
        <v>145</v>
      </c>
      <c r="BP16">
        <v>1</v>
      </c>
      <c r="BQ16" t="s">
        <v>146</v>
      </c>
      <c r="BR16" t="s">
        <v>143</v>
      </c>
      <c r="BT16" t="s">
        <v>144</v>
      </c>
      <c r="BU16">
        <v>59.541352966157298</v>
      </c>
      <c r="BV16" t="s">
        <v>147</v>
      </c>
    </row>
    <row r="17" spans="1:74" x14ac:dyDescent="0.3">
      <c r="A17">
        <v>14</v>
      </c>
      <c r="B17" t="s">
        <v>52</v>
      </c>
      <c r="C17" t="s">
        <v>17</v>
      </c>
      <c r="D17" t="s">
        <v>18</v>
      </c>
      <c r="E17" t="s">
        <v>10</v>
      </c>
      <c r="F17" t="s">
        <v>18</v>
      </c>
      <c r="G17">
        <v>1</v>
      </c>
      <c r="H17">
        <v>0.89318680000724204</v>
      </c>
      <c r="BO17" t="s">
        <v>145</v>
      </c>
      <c r="BP17">
        <v>1</v>
      </c>
      <c r="BQ17" t="s">
        <v>146</v>
      </c>
      <c r="BR17" t="s">
        <v>143</v>
      </c>
      <c r="BT17" t="s">
        <v>144</v>
      </c>
      <c r="BU17">
        <v>59.541352966157298</v>
      </c>
      <c r="BV17" t="s">
        <v>147</v>
      </c>
    </row>
    <row r="18" spans="1:74" x14ac:dyDescent="0.3">
      <c r="A18">
        <v>15</v>
      </c>
      <c r="B18" t="s">
        <v>23</v>
      </c>
      <c r="C18" t="s">
        <v>17</v>
      </c>
      <c r="D18" t="s">
        <v>18</v>
      </c>
      <c r="E18" t="s">
        <v>10</v>
      </c>
      <c r="F18" t="s">
        <v>18</v>
      </c>
      <c r="G18">
        <v>1</v>
      </c>
      <c r="H18">
        <v>0.69355710002128002</v>
      </c>
      <c r="J18" t="s">
        <v>103</v>
      </c>
      <c r="K18" t="s">
        <v>104</v>
      </c>
      <c r="L18" t="s">
        <v>105</v>
      </c>
      <c r="M18" t="s">
        <v>106</v>
      </c>
      <c r="N18" t="s">
        <v>107</v>
      </c>
      <c r="BO18" t="s">
        <v>145</v>
      </c>
      <c r="BP18">
        <v>1</v>
      </c>
      <c r="BQ18" t="s">
        <v>146</v>
      </c>
      <c r="BR18" t="s">
        <v>143</v>
      </c>
      <c r="BT18" t="s">
        <v>144</v>
      </c>
      <c r="BU18">
        <v>59.541352966157298</v>
      </c>
      <c r="BV18" t="s">
        <v>147</v>
      </c>
    </row>
    <row r="19" spans="1:74" x14ac:dyDescent="0.3">
      <c r="A19">
        <v>16</v>
      </c>
      <c r="B19" t="s">
        <v>27</v>
      </c>
      <c r="C19" t="s">
        <v>21</v>
      </c>
      <c r="D19" t="s">
        <v>22</v>
      </c>
      <c r="E19" t="s">
        <v>10</v>
      </c>
      <c r="F19" t="s">
        <v>22</v>
      </c>
      <c r="G19">
        <v>1</v>
      </c>
      <c r="H19">
        <v>0.95773150000604801</v>
      </c>
      <c r="BO19" t="s">
        <v>145</v>
      </c>
      <c r="BP19">
        <v>1</v>
      </c>
      <c r="BQ19" t="s">
        <v>146</v>
      </c>
      <c r="BR19" t="s">
        <v>143</v>
      </c>
      <c r="BT19" t="s">
        <v>144</v>
      </c>
      <c r="BU19">
        <v>59.541352966157298</v>
      </c>
      <c r="BV19" t="s">
        <v>147</v>
      </c>
    </row>
    <row r="20" spans="1:74" x14ac:dyDescent="0.3">
      <c r="A20">
        <v>17</v>
      </c>
      <c r="B20" t="s">
        <v>49</v>
      </c>
      <c r="C20" t="s">
        <v>17</v>
      </c>
      <c r="D20" t="s">
        <v>18</v>
      </c>
      <c r="E20" t="s">
        <v>10</v>
      </c>
      <c r="F20" t="s">
        <v>18</v>
      </c>
      <c r="G20">
        <v>1</v>
      </c>
      <c r="H20">
        <v>0.70084469998255305</v>
      </c>
      <c r="J20" t="s">
        <v>94</v>
      </c>
      <c r="K20">
        <v>38</v>
      </c>
      <c r="L20">
        <v>37</v>
      </c>
      <c r="M20">
        <v>1</v>
      </c>
      <c r="N20">
        <f>L20/K20*100</f>
        <v>97.368421052631575</v>
      </c>
      <c r="BO20" t="s">
        <v>145</v>
      </c>
      <c r="BP20">
        <v>1</v>
      </c>
      <c r="BQ20" t="s">
        <v>146</v>
      </c>
      <c r="BR20" t="s">
        <v>143</v>
      </c>
      <c r="BT20" t="s">
        <v>144</v>
      </c>
      <c r="BU20">
        <v>59.541352966157298</v>
      </c>
      <c r="BV20" t="s">
        <v>147</v>
      </c>
    </row>
    <row r="21" spans="1:74" x14ac:dyDescent="0.3">
      <c r="A21">
        <v>18</v>
      </c>
      <c r="B21" t="s">
        <v>16</v>
      </c>
      <c r="C21" t="s">
        <v>17</v>
      </c>
      <c r="D21" t="s">
        <v>18</v>
      </c>
      <c r="E21" t="s">
        <v>10</v>
      </c>
      <c r="F21" t="s">
        <v>18</v>
      </c>
      <c r="G21">
        <v>1</v>
      </c>
      <c r="H21">
        <v>0.60055990002001602</v>
      </c>
      <c r="J21" t="s">
        <v>95</v>
      </c>
      <c r="K21">
        <v>38</v>
      </c>
      <c r="L21">
        <v>37</v>
      </c>
      <c r="M21">
        <v>1</v>
      </c>
      <c r="N21">
        <f>L21/K21*100</f>
        <v>97.368421052631575</v>
      </c>
      <c r="BO21" t="s">
        <v>145</v>
      </c>
      <c r="BP21">
        <v>1</v>
      </c>
      <c r="BQ21" t="s">
        <v>146</v>
      </c>
      <c r="BR21" t="s">
        <v>143</v>
      </c>
      <c r="BT21" t="s">
        <v>144</v>
      </c>
      <c r="BU21">
        <v>59.541352966157298</v>
      </c>
      <c r="BV21" t="s">
        <v>147</v>
      </c>
    </row>
    <row r="22" spans="1:74" x14ac:dyDescent="0.3">
      <c r="A22">
        <v>19</v>
      </c>
      <c r="B22" t="s">
        <v>25</v>
      </c>
      <c r="C22" t="s">
        <v>21</v>
      </c>
      <c r="D22" t="s">
        <v>22</v>
      </c>
      <c r="E22" t="s">
        <v>10</v>
      </c>
      <c r="F22" t="s">
        <v>22</v>
      </c>
      <c r="G22">
        <v>1</v>
      </c>
      <c r="H22">
        <v>0.78166690000216399</v>
      </c>
      <c r="J22" t="s">
        <v>96</v>
      </c>
      <c r="K22">
        <v>38</v>
      </c>
      <c r="L22">
        <v>36</v>
      </c>
      <c r="M22">
        <v>2</v>
      </c>
      <c r="N22">
        <f>L22/K22*100</f>
        <v>94.73684210526315</v>
      </c>
      <c r="BO22" t="s">
        <v>145</v>
      </c>
      <c r="BP22">
        <v>1</v>
      </c>
      <c r="BQ22" t="s">
        <v>146</v>
      </c>
      <c r="BR22" t="s">
        <v>143</v>
      </c>
      <c r="BT22" t="s">
        <v>144</v>
      </c>
      <c r="BU22">
        <v>59.541352966157298</v>
      </c>
      <c r="BV22" t="s">
        <v>147</v>
      </c>
    </row>
    <row r="23" spans="1:74" x14ac:dyDescent="0.3">
      <c r="A23">
        <v>20</v>
      </c>
      <c r="B23" t="s">
        <v>30</v>
      </c>
      <c r="C23" t="s">
        <v>8</v>
      </c>
      <c r="D23" t="s">
        <v>9</v>
      </c>
      <c r="E23" t="s">
        <v>10</v>
      </c>
      <c r="F23" t="s">
        <v>9</v>
      </c>
      <c r="G23">
        <v>1</v>
      </c>
      <c r="H23">
        <v>0.65815040000597902</v>
      </c>
      <c r="BO23" t="s">
        <v>145</v>
      </c>
      <c r="BP23">
        <v>1</v>
      </c>
      <c r="BQ23" t="s">
        <v>146</v>
      </c>
      <c r="BR23" t="s">
        <v>143</v>
      </c>
      <c r="BT23" t="s">
        <v>144</v>
      </c>
      <c r="BU23">
        <v>59.541352966157298</v>
      </c>
      <c r="BV23" t="s">
        <v>147</v>
      </c>
    </row>
    <row r="24" spans="1:74" x14ac:dyDescent="0.3">
      <c r="A24">
        <v>21</v>
      </c>
      <c r="B24" t="s">
        <v>20</v>
      </c>
      <c r="C24" t="s">
        <v>21</v>
      </c>
      <c r="D24" t="s">
        <v>22</v>
      </c>
      <c r="E24" t="s">
        <v>10</v>
      </c>
      <c r="F24" t="s">
        <v>22</v>
      </c>
      <c r="G24">
        <v>1</v>
      </c>
      <c r="H24">
        <v>0.87727820000145496</v>
      </c>
      <c r="BO24" t="s">
        <v>145</v>
      </c>
      <c r="BP24">
        <v>1</v>
      </c>
      <c r="BQ24" t="s">
        <v>146</v>
      </c>
      <c r="BR24" t="s">
        <v>143</v>
      </c>
      <c r="BT24" t="s">
        <v>144</v>
      </c>
      <c r="BU24">
        <v>59.541352966157298</v>
      </c>
      <c r="BV24" t="s">
        <v>147</v>
      </c>
    </row>
    <row r="25" spans="1:74" x14ac:dyDescent="0.3">
      <c r="A25">
        <v>22</v>
      </c>
      <c r="B25" t="s">
        <v>11</v>
      </c>
      <c r="C25" t="s">
        <v>12</v>
      </c>
      <c r="D25" t="s">
        <v>13</v>
      </c>
      <c r="E25" t="s">
        <v>10</v>
      </c>
      <c r="F25" t="s">
        <v>13</v>
      </c>
      <c r="G25">
        <v>1</v>
      </c>
      <c r="H25">
        <v>0.75275169999804303</v>
      </c>
      <c r="BO25" t="s">
        <v>145</v>
      </c>
      <c r="BP25">
        <v>1</v>
      </c>
      <c r="BQ25" t="s">
        <v>146</v>
      </c>
      <c r="BR25" t="s">
        <v>143</v>
      </c>
      <c r="BT25" t="s">
        <v>144</v>
      </c>
      <c r="BU25">
        <v>59.541352966157298</v>
      </c>
      <c r="BV25" t="s">
        <v>147</v>
      </c>
    </row>
    <row r="26" spans="1:74" x14ac:dyDescent="0.3">
      <c r="A26">
        <v>23</v>
      </c>
      <c r="B26" t="s">
        <v>46</v>
      </c>
      <c r="C26" t="s">
        <v>21</v>
      </c>
      <c r="D26" t="s">
        <v>22</v>
      </c>
      <c r="E26" t="s">
        <v>10</v>
      </c>
      <c r="F26" t="s">
        <v>22</v>
      </c>
      <c r="G26">
        <v>1</v>
      </c>
      <c r="H26">
        <v>0.72667129998444502</v>
      </c>
      <c r="BO26" t="s">
        <v>145</v>
      </c>
      <c r="BP26">
        <v>1</v>
      </c>
      <c r="BQ26" t="s">
        <v>146</v>
      </c>
      <c r="BR26" t="s">
        <v>143</v>
      </c>
      <c r="BT26" t="s">
        <v>144</v>
      </c>
      <c r="BU26">
        <v>59.541352966157298</v>
      </c>
      <c r="BV26" t="s">
        <v>147</v>
      </c>
    </row>
    <row r="27" spans="1:74" x14ac:dyDescent="0.3">
      <c r="A27">
        <v>24</v>
      </c>
      <c r="B27" t="s">
        <v>19</v>
      </c>
      <c r="C27" t="s">
        <v>12</v>
      </c>
      <c r="D27" t="s">
        <v>13</v>
      </c>
      <c r="E27" t="s">
        <v>10</v>
      </c>
      <c r="F27" t="s">
        <v>13</v>
      </c>
      <c r="G27">
        <v>1</v>
      </c>
      <c r="H27">
        <v>0.62460879998980001</v>
      </c>
      <c r="BO27" t="s">
        <v>145</v>
      </c>
      <c r="BP27">
        <v>1</v>
      </c>
      <c r="BQ27" t="s">
        <v>146</v>
      </c>
      <c r="BR27" t="s">
        <v>143</v>
      </c>
      <c r="BT27" t="s">
        <v>144</v>
      </c>
      <c r="BU27">
        <v>59.541352966157298</v>
      </c>
      <c r="BV27" t="s">
        <v>147</v>
      </c>
    </row>
    <row r="28" spans="1:74" x14ac:dyDescent="0.3">
      <c r="A28">
        <v>25</v>
      </c>
      <c r="B28" t="s">
        <v>40</v>
      </c>
      <c r="C28" t="s">
        <v>8</v>
      </c>
      <c r="D28" t="s">
        <v>9</v>
      </c>
      <c r="E28" t="s">
        <v>10</v>
      </c>
      <c r="F28" t="s">
        <v>9</v>
      </c>
      <c r="G28">
        <v>1</v>
      </c>
      <c r="H28">
        <v>0.71868999997968697</v>
      </c>
      <c r="BO28" t="s">
        <v>145</v>
      </c>
      <c r="BP28">
        <v>1</v>
      </c>
      <c r="BQ28" t="s">
        <v>146</v>
      </c>
      <c r="BR28" t="s">
        <v>143</v>
      </c>
      <c r="BT28" t="s">
        <v>144</v>
      </c>
      <c r="BU28">
        <v>59.541352966157298</v>
      </c>
      <c r="BV28" t="s">
        <v>147</v>
      </c>
    </row>
    <row r="29" spans="1:74" x14ac:dyDescent="0.3">
      <c r="A29">
        <v>26</v>
      </c>
      <c r="B29" t="s">
        <v>53</v>
      </c>
      <c r="C29" t="s">
        <v>12</v>
      </c>
      <c r="D29" t="s">
        <v>13</v>
      </c>
      <c r="E29" t="s">
        <v>10</v>
      </c>
      <c r="F29" t="s">
        <v>13</v>
      </c>
      <c r="G29">
        <v>1</v>
      </c>
      <c r="H29">
        <v>0.59839870000723705</v>
      </c>
      <c r="BO29" t="s">
        <v>145</v>
      </c>
      <c r="BP29">
        <v>1</v>
      </c>
      <c r="BQ29" t="s">
        <v>146</v>
      </c>
      <c r="BR29" t="s">
        <v>143</v>
      </c>
      <c r="BT29" t="s">
        <v>144</v>
      </c>
      <c r="BU29">
        <v>59.541352966157298</v>
      </c>
      <c r="BV29" t="s">
        <v>147</v>
      </c>
    </row>
    <row r="30" spans="1:74" x14ac:dyDescent="0.3">
      <c r="A30">
        <v>27</v>
      </c>
      <c r="B30" t="s">
        <v>43</v>
      </c>
      <c r="C30" t="s">
        <v>21</v>
      </c>
      <c r="D30" t="s">
        <v>22</v>
      </c>
      <c r="E30" t="s">
        <v>10</v>
      </c>
      <c r="F30" t="s">
        <v>22</v>
      </c>
      <c r="G30">
        <v>1</v>
      </c>
      <c r="H30">
        <v>1.42611510001006</v>
      </c>
      <c r="BO30" t="s">
        <v>145</v>
      </c>
      <c r="BP30">
        <v>1</v>
      </c>
      <c r="BQ30" t="s">
        <v>146</v>
      </c>
      <c r="BR30" t="s">
        <v>143</v>
      </c>
      <c r="BT30" t="s">
        <v>144</v>
      </c>
      <c r="BU30">
        <v>59.541352966157298</v>
      </c>
      <c r="BV30" t="s">
        <v>147</v>
      </c>
    </row>
    <row r="31" spans="1:74" x14ac:dyDescent="0.3">
      <c r="A31">
        <v>28</v>
      </c>
      <c r="B31" t="s">
        <v>24</v>
      </c>
      <c r="C31" t="s">
        <v>21</v>
      </c>
      <c r="D31" t="s">
        <v>22</v>
      </c>
      <c r="E31" t="s">
        <v>10</v>
      </c>
      <c r="F31" t="s">
        <v>22</v>
      </c>
      <c r="G31">
        <v>1</v>
      </c>
      <c r="H31">
        <v>0.49515919998520902</v>
      </c>
      <c r="BO31" t="s">
        <v>145</v>
      </c>
      <c r="BP31">
        <v>1</v>
      </c>
      <c r="BQ31" t="s">
        <v>146</v>
      </c>
      <c r="BR31" t="s">
        <v>143</v>
      </c>
      <c r="BT31" t="s">
        <v>144</v>
      </c>
      <c r="BU31">
        <v>59.541352966157298</v>
      </c>
      <c r="BV31" t="s">
        <v>147</v>
      </c>
    </row>
    <row r="32" spans="1:74" x14ac:dyDescent="0.3">
      <c r="A32">
        <v>29</v>
      </c>
      <c r="B32" t="s">
        <v>47</v>
      </c>
      <c r="C32" t="s">
        <v>8</v>
      </c>
      <c r="D32" t="s">
        <v>9</v>
      </c>
      <c r="E32" t="s">
        <v>10</v>
      </c>
      <c r="F32" t="s">
        <v>9</v>
      </c>
      <c r="G32">
        <v>1</v>
      </c>
      <c r="H32">
        <v>0.63002959999721497</v>
      </c>
      <c r="BO32" t="s">
        <v>145</v>
      </c>
      <c r="BP32">
        <v>1</v>
      </c>
      <c r="BQ32" t="s">
        <v>146</v>
      </c>
      <c r="BR32" t="s">
        <v>143</v>
      </c>
      <c r="BT32" t="s">
        <v>144</v>
      </c>
      <c r="BU32">
        <v>59.541352966157298</v>
      </c>
      <c r="BV32" t="s">
        <v>147</v>
      </c>
    </row>
    <row r="33" spans="1:74" x14ac:dyDescent="0.3">
      <c r="A33">
        <v>30</v>
      </c>
      <c r="B33" t="s">
        <v>51</v>
      </c>
      <c r="C33" t="s">
        <v>8</v>
      </c>
      <c r="D33" t="s">
        <v>9</v>
      </c>
      <c r="E33" t="s">
        <v>10</v>
      </c>
      <c r="F33" t="s">
        <v>9</v>
      </c>
      <c r="G33">
        <v>1</v>
      </c>
      <c r="H33">
        <v>0.43731559999287101</v>
      </c>
      <c r="BO33" t="s">
        <v>145</v>
      </c>
      <c r="BP33">
        <v>1</v>
      </c>
      <c r="BQ33" t="s">
        <v>146</v>
      </c>
      <c r="BR33" t="s">
        <v>143</v>
      </c>
      <c r="BT33" t="s">
        <v>144</v>
      </c>
      <c r="BU33">
        <v>59.541352966157298</v>
      </c>
      <c r="BV33" t="s">
        <v>147</v>
      </c>
    </row>
    <row r="34" spans="1:74" x14ac:dyDescent="0.3">
      <c r="A34">
        <v>31</v>
      </c>
      <c r="B34" t="s">
        <v>34</v>
      </c>
      <c r="C34" t="s">
        <v>17</v>
      </c>
      <c r="D34" t="s">
        <v>18</v>
      </c>
      <c r="E34" t="s">
        <v>10</v>
      </c>
      <c r="F34" t="s">
        <v>18</v>
      </c>
      <c r="G34">
        <v>1</v>
      </c>
      <c r="H34">
        <v>0.58644320000894301</v>
      </c>
      <c r="BO34" t="s">
        <v>145</v>
      </c>
      <c r="BP34">
        <v>1</v>
      </c>
      <c r="BQ34" t="s">
        <v>146</v>
      </c>
      <c r="BR34" t="s">
        <v>143</v>
      </c>
      <c r="BT34" t="s">
        <v>144</v>
      </c>
      <c r="BU34">
        <v>59.541352966157298</v>
      </c>
      <c r="BV34" t="s">
        <v>147</v>
      </c>
    </row>
    <row r="35" spans="1:74" x14ac:dyDescent="0.3">
      <c r="A35">
        <v>32</v>
      </c>
      <c r="B35" t="s">
        <v>7</v>
      </c>
      <c r="C35" t="s">
        <v>8</v>
      </c>
      <c r="D35" t="s">
        <v>9</v>
      </c>
      <c r="E35" t="s">
        <v>10</v>
      </c>
      <c r="F35" t="s">
        <v>22</v>
      </c>
      <c r="G35" s="1">
        <v>0</v>
      </c>
      <c r="H35">
        <v>0.70112250000238396</v>
      </c>
      <c r="BO35" t="s">
        <v>145</v>
      </c>
      <c r="BP35">
        <v>1</v>
      </c>
      <c r="BQ35" t="s">
        <v>146</v>
      </c>
      <c r="BR35" t="s">
        <v>143</v>
      </c>
      <c r="BT35" t="s">
        <v>144</v>
      </c>
      <c r="BU35">
        <v>59.541352966157298</v>
      </c>
      <c r="BV35" t="s">
        <v>147</v>
      </c>
    </row>
    <row r="36" spans="1:74" x14ac:dyDescent="0.3">
      <c r="A36">
        <v>33</v>
      </c>
      <c r="B36" t="s">
        <v>33</v>
      </c>
      <c r="C36" t="s">
        <v>8</v>
      </c>
      <c r="D36" t="s">
        <v>9</v>
      </c>
      <c r="E36" t="s">
        <v>10</v>
      </c>
      <c r="F36" t="s">
        <v>9</v>
      </c>
      <c r="G36">
        <v>1</v>
      </c>
      <c r="H36">
        <v>0.65216430000145897</v>
      </c>
      <c r="BO36" t="s">
        <v>145</v>
      </c>
      <c r="BP36">
        <v>1</v>
      </c>
      <c r="BQ36" t="s">
        <v>146</v>
      </c>
      <c r="BR36" t="s">
        <v>143</v>
      </c>
      <c r="BT36" t="s">
        <v>144</v>
      </c>
      <c r="BU36">
        <v>59.541352966157298</v>
      </c>
      <c r="BV36" t="s">
        <v>147</v>
      </c>
    </row>
    <row r="37" spans="1:74" x14ac:dyDescent="0.3">
      <c r="A37">
        <v>34</v>
      </c>
      <c r="B37" t="s">
        <v>28</v>
      </c>
      <c r="C37" t="s">
        <v>17</v>
      </c>
      <c r="D37" t="s">
        <v>18</v>
      </c>
      <c r="E37" t="s">
        <v>10</v>
      </c>
      <c r="F37" t="s">
        <v>18</v>
      </c>
      <c r="G37">
        <v>1</v>
      </c>
      <c r="H37">
        <v>0.59018849997664802</v>
      </c>
      <c r="BO37" t="s">
        <v>145</v>
      </c>
      <c r="BP37">
        <v>1</v>
      </c>
      <c r="BQ37" t="s">
        <v>146</v>
      </c>
      <c r="BR37" t="s">
        <v>143</v>
      </c>
      <c r="BT37" t="s">
        <v>144</v>
      </c>
      <c r="BU37">
        <v>59.541352966157298</v>
      </c>
      <c r="BV37" t="s">
        <v>147</v>
      </c>
    </row>
    <row r="38" spans="1:74" x14ac:dyDescent="0.3">
      <c r="A38">
        <v>35</v>
      </c>
      <c r="B38" t="s">
        <v>14</v>
      </c>
      <c r="C38" t="s">
        <v>8</v>
      </c>
      <c r="D38" t="s">
        <v>9</v>
      </c>
      <c r="E38" t="s">
        <v>10</v>
      </c>
      <c r="F38" t="s">
        <v>9</v>
      </c>
      <c r="G38">
        <v>1</v>
      </c>
      <c r="H38">
        <v>0.85036820001550895</v>
      </c>
      <c r="BO38" t="s">
        <v>145</v>
      </c>
      <c r="BP38">
        <v>1</v>
      </c>
      <c r="BQ38" t="s">
        <v>146</v>
      </c>
      <c r="BR38" t="s">
        <v>143</v>
      </c>
      <c r="BT38" t="s">
        <v>144</v>
      </c>
      <c r="BU38">
        <v>59.541352966157298</v>
      </c>
      <c r="BV38" t="s">
        <v>147</v>
      </c>
    </row>
    <row r="39" spans="1:74" x14ac:dyDescent="0.3">
      <c r="A39">
        <v>36</v>
      </c>
      <c r="B39" t="s">
        <v>38</v>
      </c>
      <c r="C39" t="s">
        <v>21</v>
      </c>
      <c r="D39" t="s">
        <v>22</v>
      </c>
      <c r="E39" t="s">
        <v>10</v>
      </c>
      <c r="F39" t="s">
        <v>22</v>
      </c>
      <c r="G39">
        <v>1</v>
      </c>
      <c r="H39">
        <v>0.68493180000223197</v>
      </c>
      <c r="BO39" t="s">
        <v>145</v>
      </c>
      <c r="BP39">
        <v>1</v>
      </c>
      <c r="BQ39" t="s">
        <v>146</v>
      </c>
      <c r="BR39" t="s">
        <v>143</v>
      </c>
      <c r="BT39" t="s">
        <v>144</v>
      </c>
      <c r="BU39">
        <v>59.541352966157298</v>
      </c>
      <c r="BV39" t="s">
        <v>147</v>
      </c>
    </row>
    <row r="40" spans="1:74" x14ac:dyDescent="0.3">
      <c r="A40">
        <v>37</v>
      </c>
      <c r="B40" t="s">
        <v>50</v>
      </c>
      <c r="C40" t="s">
        <v>21</v>
      </c>
      <c r="D40" t="s">
        <v>22</v>
      </c>
      <c r="E40" t="s">
        <v>10</v>
      </c>
      <c r="F40" t="s">
        <v>22</v>
      </c>
      <c r="G40">
        <v>1</v>
      </c>
      <c r="H40">
        <v>0.73164179999730505</v>
      </c>
      <c r="BO40" t="s">
        <v>145</v>
      </c>
      <c r="BP40">
        <v>1</v>
      </c>
      <c r="BQ40" t="s">
        <v>146</v>
      </c>
      <c r="BR40" t="s">
        <v>143</v>
      </c>
      <c r="BT40" t="s">
        <v>144</v>
      </c>
      <c r="BU40">
        <v>59.541352966157298</v>
      </c>
      <c r="BV40" t="s">
        <v>147</v>
      </c>
    </row>
    <row r="41" spans="1:74" x14ac:dyDescent="0.3">
      <c r="AP41">
        <v>91.894119300006395</v>
      </c>
      <c r="AQ41">
        <v>91.910288500017401</v>
      </c>
      <c r="AR41">
        <v>91.910288500017401</v>
      </c>
      <c r="AS41">
        <v>104.57776710001001</v>
      </c>
      <c r="AT41" t="s">
        <v>141</v>
      </c>
      <c r="AU41">
        <v>12.663733799999999</v>
      </c>
      <c r="AV41" t="s">
        <v>142</v>
      </c>
      <c r="BO41" t="s">
        <v>145</v>
      </c>
      <c r="BP41">
        <v>1</v>
      </c>
      <c r="BQ41" t="s">
        <v>146</v>
      </c>
      <c r="BR41" t="s">
        <v>143</v>
      </c>
      <c r="BT41" t="s">
        <v>144</v>
      </c>
      <c r="BU41">
        <v>59.541352966157298</v>
      </c>
      <c r="BV41" t="s">
        <v>147</v>
      </c>
    </row>
    <row r="42" spans="1:74" x14ac:dyDescent="0.3">
      <c r="A42">
        <v>0</v>
      </c>
      <c r="B42" t="s">
        <v>76</v>
      </c>
      <c r="C42" t="s">
        <v>8</v>
      </c>
      <c r="D42" t="s">
        <v>9</v>
      </c>
      <c r="F42" t="s">
        <v>9</v>
      </c>
      <c r="G42">
        <v>1</v>
      </c>
      <c r="H42">
        <v>0.76468769999337305</v>
      </c>
      <c r="AW42" t="s">
        <v>9</v>
      </c>
      <c r="AX42">
        <v>1</v>
      </c>
      <c r="AY42">
        <v>0.76468769999337305</v>
      </c>
      <c r="AZ42" t="s">
        <v>142</v>
      </c>
      <c r="BO42" t="s">
        <v>145</v>
      </c>
      <c r="BP42">
        <v>1</v>
      </c>
      <c r="BQ42" t="s">
        <v>146</v>
      </c>
      <c r="BR42" t="s">
        <v>143</v>
      </c>
      <c r="BT42" t="s">
        <v>144</v>
      </c>
      <c r="BU42">
        <v>59.541352966157298</v>
      </c>
      <c r="BV42" t="s">
        <v>147</v>
      </c>
    </row>
    <row r="43" spans="1:74" x14ac:dyDescent="0.3">
      <c r="A43">
        <v>1</v>
      </c>
      <c r="B43" t="s">
        <v>54</v>
      </c>
      <c r="C43" t="s">
        <v>8</v>
      </c>
      <c r="D43" t="s">
        <v>9</v>
      </c>
      <c r="F43" t="s">
        <v>9</v>
      </c>
      <c r="G43">
        <v>1</v>
      </c>
      <c r="H43">
        <v>0.464323799998965</v>
      </c>
      <c r="AW43" t="s">
        <v>9</v>
      </c>
      <c r="AX43">
        <v>1</v>
      </c>
      <c r="AY43">
        <v>0.464323799998965</v>
      </c>
      <c r="AZ43" t="s">
        <v>142</v>
      </c>
      <c r="BO43" t="s">
        <v>145</v>
      </c>
      <c r="BP43">
        <v>1</v>
      </c>
      <c r="BQ43" t="s">
        <v>146</v>
      </c>
      <c r="BR43" t="s">
        <v>143</v>
      </c>
      <c r="BT43" t="s">
        <v>144</v>
      </c>
      <c r="BU43">
        <v>59.541352966157298</v>
      </c>
      <c r="BV43" t="s">
        <v>147</v>
      </c>
    </row>
    <row r="44" spans="1:74" x14ac:dyDescent="0.3">
      <c r="A44">
        <v>2</v>
      </c>
      <c r="B44" t="s">
        <v>70</v>
      </c>
      <c r="C44" t="s">
        <v>8</v>
      </c>
      <c r="D44" t="s">
        <v>9</v>
      </c>
      <c r="F44" t="s">
        <v>9</v>
      </c>
      <c r="G44">
        <v>1</v>
      </c>
      <c r="H44">
        <v>0.37851730000693301</v>
      </c>
      <c r="AW44" t="s">
        <v>9</v>
      </c>
      <c r="AX44">
        <v>1</v>
      </c>
      <c r="AY44">
        <v>0.37851730000693301</v>
      </c>
      <c r="AZ44" t="s">
        <v>142</v>
      </c>
      <c r="BO44" t="s">
        <v>145</v>
      </c>
      <c r="BP44">
        <v>1</v>
      </c>
      <c r="BQ44" t="s">
        <v>146</v>
      </c>
      <c r="BR44" t="s">
        <v>143</v>
      </c>
      <c r="BT44" t="s">
        <v>144</v>
      </c>
      <c r="BU44">
        <v>59.541352966157298</v>
      </c>
      <c r="BV44" t="s">
        <v>147</v>
      </c>
    </row>
    <row r="45" spans="1:74" x14ac:dyDescent="0.3">
      <c r="A45">
        <v>3</v>
      </c>
      <c r="B45" t="s">
        <v>82</v>
      </c>
      <c r="C45" t="s">
        <v>12</v>
      </c>
      <c r="D45" t="s">
        <v>13</v>
      </c>
      <c r="F45" t="s">
        <v>13</v>
      </c>
      <c r="G45">
        <v>1</v>
      </c>
      <c r="H45">
        <v>0.57571360000292704</v>
      </c>
      <c r="AW45" t="s">
        <v>13</v>
      </c>
      <c r="AX45">
        <v>1</v>
      </c>
      <c r="AY45">
        <v>0.57571360000292704</v>
      </c>
      <c r="AZ45" t="s">
        <v>142</v>
      </c>
      <c r="BO45" t="s">
        <v>145</v>
      </c>
      <c r="BP45">
        <v>1</v>
      </c>
      <c r="BQ45" t="s">
        <v>146</v>
      </c>
      <c r="BR45" t="s">
        <v>143</v>
      </c>
      <c r="BT45" t="s">
        <v>144</v>
      </c>
      <c r="BU45">
        <v>59.541352966157298</v>
      </c>
      <c r="BV45" t="s">
        <v>147</v>
      </c>
    </row>
    <row r="46" spans="1:74" x14ac:dyDescent="0.3">
      <c r="A46">
        <v>4</v>
      </c>
      <c r="B46" t="s">
        <v>73</v>
      </c>
      <c r="C46" t="s">
        <v>21</v>
      </c>
      <c r="D46" t="s">
        <v>22</v>
      </c>
      <c r="F46" t="s">
        <v>22</v>
      </c>
      <c r="G46">
        <v>1</v>
      </c>
      <c r="H46">
        <v>0.74494559998856802</v>
      </c>
      <c r="AW46" t="s">
        <v>22</v>
      </c>
      <c r="AX46">
        <v>1</v>
      </c>
      <c r="AY46">
        <v>0.74494559998856802</v>
      </c>
      <c r="AZ46" t="s">
        <v>142</v>
      </c>
      <c r="BO46" t="s">
        <v>145</v>
      </c>
      <c r="BP46">
        <v>1</v>
      </c>
      <c r="BQ46" t="s">
        <v>146</v>
      </c>
      <c r="BR46" t="s">
        <v>143</v>
      </c>
      <c r="BT46" t="s">
        <v>144</v>
      </c>
      <c r="BU46">
        <v>59.541352966157298</v>
      </c>
      <c r="BV46" t="s">
        <v>147</v>
      </c>
    </row>
    <row r="47" spans="1:74" x14ac:dyDescent="0.3">
      <c r="A47">
        <v>5</v>
      </c>
      <c r="B47" t="s">
        <v>69</v>
      </c>
      <c r="C47" t="s">
        <v>8</v>
      </c>
      <c r="D47" t="s">
        <v>9</v>
      </c>
      <c r="F47" t="s">
        <v>9</v>
      </c>
      <c r="G47">
        <v>1</v>
      </c>
      <c r="H47">
        <v>0.69271619999199097</v>
      </c>
      <c r="AW47" t="s">
        <v>9</v>
      </c>
      <c r="AX47">
        <v>1</v>
      </c>
      <c r="AY47">
        <v>0.69271619999199097</v>
      </c>
      <c r="AZ47" t="s">
        <v>142</v>
      </c>
      <c r="BO47" t="s">
        <v>145</v>
      </c>
      <c r="BP47">
        <v>1</v>
      </c>
      <c r="BQ47" t="s">
        <v>146</v>
      </c>
      <c r="BR47" t="s">
        <v>143</v>
      </c>
      <c r="BT47" t="s">
        <v>144</v>
      </c>
      <c r="BU47">
        <v>59.541352966157298</v>
      </c>
      <c r="BV47" t="s">
        <v>147</v>
      </c>
    </row>
    <row r="48" spans="1:74" x14ac:dyDescent="0.3">
      <c r="A48">
        <v>6</v>
      </c>
      <c r="B48" t="s">
        <v>63</v>
      </c>
      <c r="C48" t="s">
        <v>21</v>
      </c>
      <c r="D48" t="s">
        <v>22</v>
      </c>
      <c r="F48" t="s">
        <v>9</v>
      </c>
      <c r="G48" s="1">
        <v>0</v>
      </c>
      <c r="H48">
        <v>0.61891300001298</v>
      </c>
      <c r="AW48" t="s">
        <v>9</v>
      </c>
      <c r="AX48">
        <v>0</v>
      </c>
      <c r="AY48">
        <v>0.61891300001298</v>
      </c>
      <c r="AZ48" t="s">
        <v>142</v>
      </c>
      <c r="BO48" t="s">
        <v>145</v>
      </c>
      <c r="BP48">
        <v>1</v>
      </c>
      <c r="BQ48" t="s">
        <v>146</v>
      </c>
      <c r="BR48" t="s">
        <v>143</v>
      </c>
      <c r="BT48" t="s">
        <v>144</v>
      </c>
      <c r="BU48">
        <v>59.541352966157298</v>
      </c>
      <c r="BV48" t="s">
        <v>147</v>
      </c>
    </row>
    <row r="49" spans="1:74" x14ac:dyDescent="0.3">
      <c r="A49">
        <v>7</v>
      </c>
      <c r="B49" t="s">
        <v>60</v>
      </c>
      <c r="C49" t="s">
        <v>21</v>
      </c>
      <c r="D49" t="s">
        <v>22</v>
      </c>
      <c r="F49" t="s">
        <v>22</v>
      </c>
      <c r="G49">
        <v>1</v>
      </c>
      <c r="H49">
        <v>0.51426110000465997</v>
      </c>
      <c r="AW49" t="s">
        <v>22</v>
      </c>
      <c r="AX49">
        <v>1</v>
      </c>
      <c r="AY49">
        <v>0.51426110000465997</v>
      </c>
      <c r="AZ49" t="s">
        <v>142</v>
      </c>
      <c r="BO49" t="s">
        <v>145</v>
      </c>
      <c r="BP49">
        <v>1</v>
      </c>
      <c r="BQ49" t="s">
        <v>146</v>
      </c>
      <c r="BR49" t="s">
        <v>143</v>
      </c>
      <c r="BT49" t="s">
        <v>144</v>
      </c>
      <c r="BU49">
        <v>59.541352966157298</v>
      </c>
      <c r="BV49" t="s">
        <v>147</v>
      </c>
    </row>
    <row r="50" spans="1:74" x14ac:dyDescent="0.3">
      <c r="A50">
        <v>8</v>
      </c>
      <c r="B50" t="s">
        <v>85</v>
      </c>
      <c r="C50" t="s">
        <v>21</v>
      </c>
      <c r="D50" t="s">
        <v>22</v>
      </c>
      <c r="F50" t="s">
        <v>22</v>
      </c>
      <c r="G50">
        <v>1</v>
      </c>
      <c r="H50">
        <v>0.40298210000037199</v>
      </c>
      <c r="AW50" t="s">
        <v>22</v>
      </c>
      <c r="AX50">
        <v>1</v>
      </c>
      <c r="AY50">
        <v>0.40298210000037199</v>
      </c>
      <c r="AZ50" t="s">
        <v>142</v>
      </c>
      <c r="BO50" t="s">
        <v>145</v>
      </c>
      <c r="BP50">
        <v>1</v>
      </c>
      <c r="BQ50" t="s">
        <v>146</v>
      </c>
      <c r="BR50" t="s">
        <v>143</v>
      </c>
      <c r="BT50" t="s">
        <v>144</v>
      </c>
      <c r="BU50">
        <v>59.541352966157298</v>
      </c>
      <c r="BV50" t="s">
        <v>147</v>
      </c>
    </row>
    <row r="51" spans="1:74" x14ac:dyDescent="0.3">
      <c r="A51">
        <v>9</v>
      </c>
      <c r="B51" t="s">
        <v>83</v>
      </c>
      <c r="C51" t="s">
        <v>17</v>
      </c>
      <c r="D51" t="s">
        <v>18</v>
      </c>
      <c r="F51" t="s">
        <v>18</v>
      </c>
      <c r="G51">
        <v>1</v>
      </c>
      <c r="H51">
        <v>0.75830129999667395</v>
      </c>
      <c r="AW51" t="s">
        <v>18</v>
      </c>
      <c r="AX51">
        <v>1</v>
      </c>
      <c r="AY51">
        <v>0.75830129999667395</v>
      </c>
      <c r="AZ51" t="s">
        <v>142</v>
      </c>
      <c r="BO51" t="s">
        <v>145</v>
      </c>
      <c r="BP51">
        <v>1</v>
      </c>
      <c r="BQ51" t="s">
        <v>146</v>
      </c>
      <c r="BR51" t="s">
        <v>143</v>
      </c>
      <c r="BT51" t="s">
        <v>144</v>
      </c>
      <c r="BU51">
        <v>59.541352966157298</v>
      </c>
      <c r="BV51" t="s">
        <v>147</v>
      </c>
    </row>
    <row r="52" spans="1:74" x14ac:dyDescent="0.3">
      <c r="A52">
        <v>10</v>
      </c>
      <c r="B52" t="s">
        <v>79</v>
      </c>
      <c r="C52" t="s">
        <v>8</v>
      </c>
      <c r="D52" t="s">
        <v>9</v>
      </c>
      <c r="F52" t="s">
        <v>9</v>
      </c>
      <c r="G52">
        <v>1</v>
      </c>
      <c r="H52">
        <v>0.74517929999274202</v>
      </c>
      <c r="AW52" t="s">
        <v>9</v>
      </c>
      <c r="AX52">
        <v>1</v>
      </c>
      <c r="AY52">
        <v>0.74517929999274202</v>
      </c>
      <c r="AZ52" t="s">
        <v>142</v>
      </c>
      <c r="BO52" t="s">
        <v>145</v>
      </c>
      <c r="BP52">
        <v>1</v>
      </c>
      <c r="BQ52" t="s">
        <v>146</v>
      </c>
      <c r="BR52" t="s">
        <v>143</v>
      </c>
      <c r="BT52" t="s">
        <v>144</v>
      </c>
      <c r="BU52">
        <v>59.541352966157298</v>
      </c>
      <c r="BV52" t="s">
        <v>147</v>
      </c>
    </row>
    <row r="53" spans="1:74" x14ac:dyDescent="0.3">
      <c r="A53">
        <v>11</v>
      </c>
      <c r="B53" t="s">
        <v>89</v>
      </c>
      <c r="C53" t="s">
        <v>8</v>
      </c>
      <c r="D53" t="s">
        <v>9</v>
      </c>
      <c r="F53" t="s">
        <v>9</v>
      </c>
      <c r="G53">
        <v>1</v>
      </c>
      <c r="H53">
        <v>0.55430819999310099</v>
      </c>
      <c r="AW53" t="s">
        <v>9</v>
      </c>
      <c r="AX53">
        <v>1</v>
      </c>
      <c r="AY53">
        <v>0.55430819999310099</v>
      </c>
      <c r="AZ53" t="s">
        <v>142</v>
      </c>
      <c r="BO53" t="s">
        <v>145</v>
      </c>
      <c r="BP53">
        <v>1</v>
      </c>
      <c r="BQ53" t="s">
        <v>146</v>
      </c>
      <c r="BR53" t="s">
        <v>143</v>
      </c>
      <c r="BT53" t="s">
        <v>144</v>
      </c>
      <c r="BU53">
        <v>59.541352966157298</v>
      </c>
      <c r="BV53" t="s">
        <v>147</v>
      </c>
    </row>
    <row r="54" spans="1:74" x14ac:dyDescent="0.3">
      <c r="A54">
        <v>12</v>
      </c>
      <c r="B54" t="s">
        <v>78</v>
      </c>
      <c r="C54" t="s">
        <v>21</v>
      </c>
      <c r="D54" t="s">
        <v>22</v>
      </c>
      <c r="F54" t="s">
        <v>22</v>
      </c>
      <c r="G54">
        <v>1</v>
      </c>
      <c r="H54">
        <v>1.23138300000573</v>
      </c>
      <c r="AW54" t="s">
        <v>22</v>
      </c>
      <c r="AX54">
        <v>1</v>
      </c>
      <c r="AY54">
        <v>1.23138300000573</v>
      </c>
      <c r="AZ54" t="s">
        <v>142</v>
      </c>
      <c r="BO54" t="s">
        <v>145</v>
      </c>
      <c r="BP54">
        <v>1</v>
      </c>
      <c r="BQ54" t="s">
        <v>146</v>
      </c>
      <c r="BR54" t="s">
        <v>143</v>
      </c>
      <c r="BT54" t="s">
        <v>144</v>
      </c>
      <c r="BU54">
        <v>59.541352966157298</v>
      </c>
      <c r="BV54" t="s">
        <v>147</v>
      </c>
    </row>
    <row r="55" spans="1:74" x14ac:dyDescent="0.3">
      <c r="A55">
        <v>13</v>
      </c>
      <c r="B55" t="s">
        <v>84</v>
      </c>
      <c r="C55" t="s">
        <v>21</v>
      </c>
      <c r="D55" t="s">
        <v>22</v>
      </c>
      <c r="F55" t="s">
        <v>22</v>
      </c>
      <c r="G55">
        <v>1</v>
      </c>
      <c r="H55">
        <v>0.97398940002312795</v>
      </c>
      <c r="AW55" t="s">
        <v>22</v>
      </c>
      <c r="AX55">
        <v>1</v>
      </c>
      <c r="AY55">
        <v>0.97398940002312795</v>
      </c>
      <c r="AZ55" t="s">
        <v>142</v>
      </c>
      <c r="BO55" t="s">
        <v>145</v>
      </c>
      <c r="BP55">
        <v>1</v>
      </c>
      <c r="BQ55" t="s">
        <v>146</v>
      </c>
      <c r="BR55" t="s">
        <v>143</v>
      </c>
      <c r="BT55" t="s">
        <v>144</v>
      </c>
      <c r="BU55">
        <v>59.541352966157298</v>
      </c>
      <c r="BV55" t="s">
        <v>147</v>
      </c>
    </row>
    <row r="56" spans="1:74" x14ac:dyDescent="0.3">
      <c r="A56">
        <v>14</v>
      </c>
      <c r="B56" t="s">
        <v>58</v>
      </c>
      <c r="C56" t="s">
        <v>8</v>
      </c>
      <c r="D56" t="s">
        <v>9</v>
      </c>
      <c r="F56" t="s">
        <v>9</v>
      </c>
      <c r="G56">
        <v>1</v>
      </c>
      <c r="H56">
        <v>0.97810690000187595</v>
      </c>
      <c r="AW56" t="s">
        <v>9</v>
      </c>
      <c r="AX56">
        <v>1</v>
      </c>
      <c r="AY56">
        <v>0.97810690000187595</v>
      </c>
      <c r="AZ56" t="s">
        <v>142</v>
      </c>
      <c r="BO56" t="s">
        <v>145</v>
      </c>
      <c r="BP56">
        <v>1</v>
      </c>
      <c r="BQ56" t="s">
        <v>146</v>
      </c>
      <c r="BR56" t="s">
        <v>143</v>
      </c>
      <c r="BT56" t="s">
        <v>144</v>
      </c>
      <c r="BU56">
        <v>59.541352966157298</v>
      </c>
      <c r="BV56" t="s">
        <v>147</v>
      </c>
    </row>
    <row r="57" spans="1:74" x14ac:dyDescent="0.3">
      <c r="A57">
        <v>15</v>
      </c>
      <c r="B57" t="s">
        <v>88</v>
      </c>
      <c r="C57" t="s">
        <v>21</v>
      </c>
      <c r="D57" t="s">
        <v>22</v>
      </c>
      <c r="F57" t="s">
        <v>22</v>
      </c>
      <c r="G57">
        <v>1</v>
      </c>
      <c r="H57">
        <v>0.70347889998811297</v>
      </c>
      <c r="AW57" t="s">
        <v>22</v>
      </c>
      <c r="AX57">
        <v>1</v>
      </c>
      <c r="AY57">
        <v>0.70347889998811297</v>
      </c>
      <c r="AZ57" t="s">
        <v>142</v>
      </c>
      <c r="BO57" t="s">
        <v>145</v>
      </c>
      <c r="BP57">
        <v>1</v>
      </c>
      <c r="BQ57" t="s">
        <v>146</v>
      </c>
      <c r="BR57" t="s">
        <v>143</v>
      </c>
      <c r="BT57" t="s">
        <v>144</v>
      </c>
      <c r="BU57">
        <v>59.541352966157298</v>
      </c>
      <c r="BV57" t="s">
        <v>147</v>
      </c>
    </row>
    <row r="58" spans="1:74" x14ac:dyDescent="0.3">
      <c r="A58">
        <v>16</v>
      </c>
      <c r="B58" t="s">
        <v>64</v>
      </c>
      <c r="C58" t="s">
        <v>12</v>
      </c>
      <c r="D58" t="s">
        <v>13</v>
      </c>
      <c r="F58" t="s">
        <v>13</v>
      </c>
      <c r="G58">
        <v>1</v>
      </c>
      <c r="H58">
        <v>0.604287900001509</v>
      </c>
      <c r="AW58" t="s">
        <v>13</v>
      </c>
      <c r="AX58">
        <v>1</v>
      </c>
      <c r="AY58">
        <v>0.604287900001509</v>
      </c>
      <c r="AZ58" t="s">
        <v>142</v>
      </c>
      <c r="BO58" t="s">
        <v>145</v>
      </c>
      <c r="BP58">
        <v>1</v>
      </c>
      <c r="BQ58" t="s">
        <v>146</v>
      </c>
      <c r="BR58" t="s">
        <v>143</v>
      </c>
      <c r="BT58" t="s">
        <v>144</v>
      </c>
      <c r="BU58">
        <v>59.541352966157298</v>
      </c>
      <c r="BV58" t="s">
        <v>147</v>
      </c>
    </row>
    <row r="59" spans="1:74" x14ac:dyDescent="0.3">
      <c r="A59">
        <v>17</v>
      </c>
      <c r="B59" t="s">
        <v>74</v>
      </c>
      <c r="C59" t="s">
        <v>17</v>
      </c>
      <c r="D59" t="s">
        <v>18</v>
      </c>
      <c r="F59" t="s">
        <v>18</v>
      </c>
      <c r="G59">
        <v>1</v>
      </c>
      <c r="H59">
        <v>0.83312029999797199</v>
      </c>
      <c r="AW59" t="s">
        <v>18</v>
      </c>
      <c r="AX59">
        <v>1</v>
      </c>
      <c r="AY59">
        <v>0.83312029999797199</v>
      </c>
      <c r="AZ59" t="s">
        <v>142</v>
      </c>
      <c r="BO59" t="s">
        <v>145</v>
      </c>
      <c r="BP59">
        <v>1</v>
      </c>
      <c r="BQ59" t="s">
        <v>146</v>
      </c>
      <c r="BR59" t="s">
        <v>143</v>
      </c>
      <c r="BT59" t="s">
        <v>144</v>
      </c>
      <c r="BU59">
        <v>59.541352966157298</v>
      </c>
      <c r="BV59" t="s">
        <v>147</v>
      </c>
    </row>
    <row r="60" spans="1:74" x14ac:dyDescent="0.3">
      <c r="A60">
        <v>18</v>
      </c>
      <c r="B60" t="s">
        <v>68</v>
      </c>
      <c r="C60" t="s">
        <v>12</v>
      </c>
      <c r="D60" t="s">
        <v>13</v>
      </c>
      <c r="F60" t="s">
        <v>13</v>
      </c>
      <c r="G60">
        <v>1</v>
      </c>
      <c r="H60">
        <v>0.74845300000742998</v>
      </c>
      <c r="AW60" t="s">
        <v>13</v>
      </c>
      <c r="AX60">
        <v>1</v>
      </c>
      <c r="AY60">
        <v>0.74845300000742998</v>
      </c>
      <c r="AZ60" t="s">
        <v>142</v>
      </c>
      <c r="BO60" t="s">
        <v>145</v>
      </c>
      <c r="BP60">
        <v>1</v>
      </c>
      <c r="BQ60" t="s">
        <v>146</v>
      </c>
      <c r="BR60" t="s">
        <v>143</v>
      </c>
      <c r="BT60" t="s">
        <v>144</v>
      </c>
      <c r="BU60">
        <v>59.541352966157298</v>
      </c>
      <c r="BV60" t="s">
        <v>147</v>
      </c>
    </row>
    <row r="61" spans="1:74" x14ac:dyDescent="0.3">
      <c r="A61">
        <v>19</v>
      </c>
      <c r="B61" t="s">
        <v>81</v>
      </c>
      <c r="C61" t="s">
        <v>21</v>
      </c>
      <c r="D61" t="s">
        <v>22</v>
      </c>
      <c r="F61" t="s">
        <v>22</v>
      </c>
      <c r="G61">
        <v>1</v>
      </c>
      <c r="H61">
        <v>1.25779560001683</v>
      </c>
      <c r="AW61" t="s">
        <v>22</v>
      </c>
      <c r="AX61">
        <v>1</v>
      </c>
      <c r="AY61">
        <v>1.25779560001683</v>
      </c>
      <c r="AZ61" t="s">
        <v>142</v>
      </c>
      <c r="BO61" t="s">
        <v>145</v>
      </c>
      <c r="BP61">
        <v>1</v>
      </c>
      <c r="BQ61" t="s">
        <v>146</v>
      </c>
      <c r="BR61" t="s">
        <v>143</v>
      </c>
      <c r="BT61" t="s">
        <v>144</v>
      </c>
      <c r="BU61">
        <v>59.541352966157298</v>
      </c>
      <c r="BV61" t="s">
        <v>147</v>
      </c>
    </row>
    <row r="62" spans="1:74" x14ac:dyDescent="0.3">
      <c r="A62">
        <v>20</v>
      </c>
      <c r="B62" t="s">
        <v>71</v>
      </c>
      <c r="C62" t="s">
        <v>12</v>
      </c>
      <c r="D62" t="s">
        <v>13</v>
      </c>
      <c r="F62" t="s">
        <v>13</v>
      </c>
      <c r="G62">
        <v>1</v>
      </c>
      <c r="H62">
        <v>0.79105669999262296</v>
      </c>
      <c r="AW62" t="s">
        <v>13</v>
      </c>
      <c r="AX62">
        <v>1</v>
      </c>
      <c r="AY62">
        <v>0.79105669999262296</v>
      </c>
      <c r="AZ62" t="s">
        <v>142</v>
      </c>
      <c r="BO62" t="s">
        <v>145</v>
      </c>
      <c r="BP62">
        <v>1</v>
      </c>
      <c r="BQ62" t="s">
        <v>146</v>
      </c>
      <c r="BR62" t="s">
        <v>143</v>
      </c>
      <c r="BT62" t="s">
        <v>144</v>
      </c>
      <c r="BU62">
        <v>59.541352966157298</v>
      </c>
      <c r="BV62" t="s">
        <v>147</v>
      </c>
    </row>
    <row r="63" spans="1:74" x14ac:dyDescent="0.3">
      <c r="A63">
        <v>21</v>
      </c>
      <c r="B63" t="s">
        <v>77</v>
      </c>
      <c r="C63" t="s">
        <v>17</v>
      </c>
      <c r="D63" t="s">
        <v>18</v>
      </c>
      <c r="F63" t="s">
        <v>18</v>
      </c>
      <c r="G63">
        <v>1</v>
      </c>
      <c r="H63">
        <v>0.78354800000670299</v>
      </c>
      <c r="AW63" t="s">
        <v>18</v>
      </c>
      <c r="AX63">
        <v>1</v>
      </c>
      <c r="AY63">
        <v>0.78354800000670299</v>
      </c>
      <c r="AZ63" t="s">
        <v>142</v>
      </c>
      <c r="BO63" t="s">
        <v>145</v>
      </c>
      <c r="BP63">
        <v>1</v>
      </c>
      <c r="BQ63" t="s">
        <v>146</v>
      </c>
      <c r="BR63" t="s">
        <v>143</v>
      </c>
      <c r="BT63" t="s">
        <v>144</v>
      </c>
      <c r="BU63">
        <v>59.541352966157298</v>
      </c>
      <c r="BV63" t="s">
        <v>147</v>
      </c>
    </row>
    <row r="64" spans="1:74" x14ac:dyDescent="0.3">
      <c r="A64">
        <v>22</v>
      </c>
      <c r="B64" t="s">
        <v>55</v>
      </c>
      <c r="C64" t="s">
        <v>12</v>
      </c>
      <c r="D64" t="s">
        <v>13</v>
      </c>
      <c r="F64" t="s">
        <v>13</v>
      </c>
      <c r="G64">
        <v>1</v>
      </c>
      <c r="H64">
        <v>0.64147539998521097</v>
      </c>
      <c r="AW64" t="s">
        <v>13</v>
      </c>
      <c r="AX64">
        <v>1</v>
      </c>
      <c r="AY64">
        <v>0.64147539998521097</v>
      </c>
      <c r="AZ64" t="s">
        <v>142</v>
      </c>
      <c r="BO64" t="s">
        <v>145</v>
      </c>
      <c r="BP64">
        <v>1</v>
      </c>
      <c r="BQ64" t="s">
        <v>146</v>
      </c>
      <c r="BR64" t="s">
        <v>143</v>
      </c>
      <c r="BT64" t="s">
        <v>144</v>
      </c>
      <c r="BU64">
        <v>59.541352966157298</v>
      </c>
      <c r="BV64" t="s">
        <v>147</v>
      </c>
    </row>
    <row r="65" spans="1:74" x14ac:dyDescent="0.3">
      <c r="A65">
        <v>23</v>
      </c>
      <c r="B65" t="s">
        <v>75</v>
      </c>
      <c r="C65" t="s">
        <v>17</v>
      </c>
      <c r="D65" t="s">
        <v>18</v>
      </c>
      <c r="F65" t="s">
        <v>18</v>
      </c>
      <c r="G65">
        <v>1</v>
      </c>
      <c r="H65">
        <v>0.57473449999815696</v>
      </c>
      <c r="AW65" t="s">
        <v>18</v>
      </c>
      <c r="AX65">
        <v>1</v>
      </c>
      <c r="AY65">
        <v>0.57473449999815696</v>
      </c>
      <c r="AZ65" t="s">
        <v>142</v>
      </c>
      <c r="BO65" t="s">
        <v>145</v>
      </c>
      <c r="BP65">
        <v>1</v>
      </c>
      <c r="BQ65" t="s">
        <v>146</v>
      </c>
      <c r="BR65" t="s">
        <v>143</v>
      </c>
      <c r="BT65" t="s">
        <v>144</v>
      </c>
      <c r="BU65">
        <v>59.541352966157298</v>
      </c>
      <c r="BV65" t="s">
        <v>147</v>
      </c>
    </row>
    <row r="66" spans="1:74" x14ac:dyDescent="0.3">
      <c r="A66">
        <v>24</v>
      </c>
      <c r="B66" t="s">
        <v>57</v>
      </c>
      <c r="C66" t="s">
        <v>8</v>
      </c>
      <c r="D66" t="s">
        <v>9</v>
      </c>
      <c r="F66" t="s">
        <v>9</v>
      </c>
      <c r="G66">
        <v>1</v>
      </c>
      <c r="H66">
        <v>0.43033070000819801</v>
      </c>
      <c r="AW66" t="s">
        <v>9</v>
      </c>
      <c r="AX66">
        <v>1</v>
      </c>
      <c r="AY66">
        <v>0.43033070000819801</v>
      </c>
      <c r="AZ66" t="s">
        <v>142</v>
      </c>
      <c r="BO66" t="s">
        <v>145</v>
      </c>
      <c r="BP66">
        <v>1</v>
      </c>
      <c r="BQ66" t="s">
        <v>146</v>
      </c>
      <c r="BR66" t="s">
        <v>143</v>
      </c>
      <c r="BT66" t="s">
        <v>144</v>
      </c>
      <c r="BU66">
        <v>59.541352966157298</v>
      </c>
      <c r="BV66" t="s">
        <v>147</v>
      </c>
    </row>
    <row r="67" spans="1:74" x14ac:dyDescent="0.3">
      <c r="A67">
        <v>25</v>
      </c>
      <c r="B67" t="s">
        <v>62</v>
      </c>
      <c r="C67" t="s">
        <v>21</v>
      </c>
      <c r="D67" t="s">
        <v>22</v>
      </c>
      <c r="F67" t="s">
        <v>22</v>
      </c>
      <c r="G67">
        <v>1</v>
      </c>
      <c r="H67">
        <v>0.63353329998790198</v>
      </c>
      <c r="AW67" t="s">
        <v>22</v>
      </c>
      <c r="AX67">
        <v>1</v>
      </c>
      <c r="AY67">
        <v>0.63353329998790198</v>
      </c>
      <c r="AZ67" t="s">
        <v>142</v>
      </c>
      <c r="BO67" t="s">
        <v>145</v>
      </c>
      <c r="BP67">
        <v>1</v>
      </c>
      <c r="BQ67" t="s">
        <v>146</v>
      </c>
      <c r="BR67" t="s">
        <v>143</v>
      </c>
      <c r="BT67" t="s">
        <v>144</v>
      </c>
      <c r="BU67">
        <v>59.541352966157298</v>
      </c>
      <c r="BV67" t="s">
        <v>147</v>
      </c>
    </row>
    <row r="68" spans="1:74" x14ac:dyDescent="0.3">
      <c r="A68">
        <v>26</v>
      </c>
      <c r="B68" t="s">
        <v>67</v>
      </c>
      <c r="C68" t="s">
        <v>17</v>
      </c>
      <c r="D68" t="s">
        <v>18</v>
      </c>
      <c r="F68" t="s">
        <v>18</v>
      </c>
      <c r="G68">
        <v>1</v>
      </c>
      <c r="H68">
        <v>0.68121189999510501</v>
      </c>
      <c r="AW68" t="s">
        <v>18</v>
      </c>
      <c r="AX68">
        <v>1</v>
      </c>
      <c r="AY68">
        <v>0.68121189999510501</v>
      </c>
      <c r="AZ68" t="s">
        <v>142</v>
      </c>
      <c r="BO68" t="s">
        <v>145</v>
      </c>
      <c r="BP68">
        <v>1</v>
      </c>
      <c r="BQ68" t="s">
        <v>146</v>
      </c>
      <c r="BR68" t="s">
        <v>143</v>
      </c>
      <c r="BT68" t="s">
        <v>144</v>
      </c>
      <c r="BU68">
        <v>59.541352966157298</v>
      </c>
      <c r="BV68" t="s">
        <v>147</v>
      </c>
    </row>
    <row r="69" spans="1:74" x14ac:dyDescent="0.3">
      <c r="A69">
        <v>27</v>
      </c>
      <c r="B69" t="s">
        <v>90</v>
      </c>
      <c r="C69" t="s">
        <v>17</v>
      </c>
      <c r="D69" t="s">
        <v>18</v>
      </c>
      <c r="F69" t="s">
        <v>18</v>
      </c>
      <c r="G69">
        <v>1</v>
      </c>
      <c r="H69">
        <v>0.82937819999642604</v>
      </c>
      <c r="AW69" t="s">
        <v>18</v>
      </c>
      <c r="AX69">
        <v>1</v>
      </c>
      <c r="AY69">
        <v>0.82937819999642604</v>
      </c>
      <c r="AZ69" t="s">
        <v>142</v>
      </c>
      <c r="BO69" t="s">
        <v>145</v>
      </c>
      <c r="BP69">
        <v>1</v>
      </c>
      <c r="BQ69" t="s">
        <v>146</v>
      </c>
      <c r="BR69" t="s">
        <v>143</v>
      </c>
      <c r="BT69" t="s">
        <v>144</v>
      </c>
      <c r="BU69">
        <v>59.541352966157298</v>
      </c>
      <c r="BV69" t="s">
        <v>147</v>
      </c>
    </row>
    <row r="70" spans="1:74" x14ac:dyDescent="0.3">
      <c r="A70">
        <v>28</v>
      </c>
      <c r="B70" t="s">
        <v>87</v>
      </c>
      <c r="C70" t="s">
        <v>12</v>
      </c>
      <c r="D70" t="s">
        <v>13</v>
      </c>
      <c r="F70" t="s">
        <v>13</v>
      </c>
      <c r="G70">
        <v>1</v>
      </c>
      <c r="H70">
        <v>0.55111349999788195</v>
      </c>
      <c r="AW70" t="s">
        <v>13</v>
      </c>
      <c r="AX70">
        <v>1</v>
      </c>
      <c r="AY70">
        <v>0.55111349999788195</v>
      </c>
      <c r="AZ70" t="s">
        <v>142</v>
      </c>
      <c r="BO70" t="s">
        <v>145</v>
      </c>
      <c r="BP70">
        <v>1</v>
      </c>
      <c r="BQ70" t="s">
        <v>146</v>
      </c>
      <c r="BR70" t="s">
        <v>143</v>
      </c>
      <c r="BT70" t="s">
        <v>144</v>
      </c>
      <c r="BU70">
        <v>59.541352966157298</v>
      </c>
      <c r="BV70" t="s">
        <v>147</v>
      </c>
    </row>
    <row r="71" spans="1:74" x14ac:dyDescent="0.3">
      <c r="A71">
        <v>29</v>
      </c>
      <c r="B71" t="s">
        <v>65</v>
      </c>
      <c r="C71" t="s">
        <v>17</v>
      </c>
      <c r="D71" t="s">
        <v>18</v>
      </c>
      <c r="F71" t="s">
        <v>18</v>
      </c>
      <c r="G71">
        <v>1</v>
      </c>
      <c r="H71">
        <v>0.78377400001045305</v>
      </c>
      <c r="AW71" t="s">
        <v>18</v>
      </c>
      <c r="AX71">
        <v>1</v>
      </c>
      <c r="AY71">
        <v>0.78377400001045305</v>
      </c>
      <c r="AZ71" t="s">
        <v>142</v>
      </c>
      <c r="BO71" t="s">
        <v>145</v>
      </c>
      <c r="BP71">
        <v>1</v>
      </c>
      <c r="BQ71" t="s">
        <v>146</v>
      </c>
      <c r="BR71" t="s">
        <v>143</v>
      </c>
      <c r="BT71" t="s">
        <v>144</v>
      </c>
      <c r="BU71">
        <v>59.541352966157298</v>
      </c>
      <c r="BV71" t="s">
        <v>147</v>
      </c>
    </row>
    <row r="72" spans="1:74" x14ac:dyDescent="0.3">
      <c r="A72">
        <v>30</v>
      </c>
      <c r="B72" t="s">
        <v>86</v>
      </c>
      <c r="C72" t="s">
        <v>8</v>
      </c>
      <c r="D72" t="s">
        <v>9</v>
      </c>
      <c r="F72" t="s">
        <v>9</v>
      </c>
      <c r="G72">
        <v>1</v>
      </c>
      <c r="H72">
        <v>0.46534649998647998</v>
      </c>
      <c r="AW72" t="s">
        <v>9</v>
      </c>
      <c r="AX72">
        <v>1</v>
      </c>
      <c r="AY72">
        <v>0.46534649998647998</v>
      </c>
      <c r="AZ72" t="s">
        <v>142</v>
      </c>
      <c r="BO72" t="s">
        <v>145</v>
      </c>
      <c r="BP72">
        <v>1</v>
      </c>
      <c r="BQ72" t="s">
        <v>146</v>
      </c>
      <c r="BR72" t="s">
        <v>143</v>
      </c>
      <c r="BT72" t="s">
        <v>144</v>
      </c>
      <c r="BU72">
        <v>59.541352966157298</v>
      </c>
      <c r="BV72" t="s">
        <v>147</v>
      </c>
    </row>
    <row r="73" spans="1:74" x14ac:dyDescent="0.3">
      <c r="A73">
        <v>31</v>
      </c>
      <c r="B73" t="s">
        <v>72</v>
      </c>
      <c r="C73" t="s">
        <v>17</v>
      </c>
      <c r="D73" t="s">
        <v>18</v>
      </c>
      <c r="F73" t="s">
        <v>18</v>
      </c>
      <c r="G73">
        <v>1</v>
      </c>
      <c r="H73">
        <v>0.72001300001284096</v>
      </c>
      <c r="AW73" t="s">
        <v>18</v>
      </c>
      <c r="AX73">
        <v>1</v>
      </c>
      <c r="AY73">
        <v>0.72001300001284096</v>
      </c>
      <c r="AZ73" t="s">
        <v>142</v>
      </c>
      <c r="BO73" t="s">
        <v>145</v>
      </c>
      <c r="BP73">
        <v>1</v>
      </c>
      <c r="BQ73" t="s">
        <v>146</v>
      </c>
      <c r="BR73" t="s">
        <v>143</v>
      </c>
      <c r="BT73" t="s">
        <v>144</v>
      </c>
      <c r="BU73">
        <v>59.541352966157298</v>
      </c>
      <c r="BV73" t="s">
        <v>147</v>
      </c>
    </row>
    <row r="74" spans="1:74" x14ac:dyDescent="0.3">
      <c r="A74">
        <v>32</v>
      </c>
      <c r="B74" t="s">
        <v>80</v>
      </c>
      <c r="C74" t="s">
        <v>17</v>
      </c>
      <c r="D74" t="s">
        <v>18</v>
      </c>
      <c r="F74" t="s">
        <v>18</v>
      </c>
      <c r="G74">
        <v>1</v>
      </c>
      <c r="H74">
        <v>0.52805769999395102</v>
      </c>
      <c r="AW74" t="s">
        <v>18</v>
      </c>
      <c r="AX74">
        <v>1</v>
      </c>
      <c r="AY74">
        <v>0.52805769999395102</v>
      </c>
      <c r="AZ74" t="s">
        <v>142</v>
      </c>
      <c r="BO74" t="s">
        <v>145</v>
      </c>
      <c r="BP74">
        <v>1</v>
      </c>
      <c r="BQ74" t="s">
        <v>146</v>
      </c>
      <c r="BR74" t="s">
        <v>143</v>
      </c>
      <c r="BT74" t="s">
        <v>144</v>
      </c>
      <c r="BU74">
        <v>59.541352966157298</v>
      </c>
      <c r="BV74" t="s">
        <v>147</v>
      </c>
    </row>
    <row r="75" spans="1:74" x14ac:dyDescent="0.3">
      <c r="A75">
        <v>33</v>
      </c>
      <c r="B75" t="s">
        <v>91</v>
      </c>
      <c r="C75" t="s">
        <v>12</v>
      </c>
      <c r="D75" t="s">
        <v>13</v>
      </c>
      <c r="F75" t="s">
        <v>13</v>
      </c>
      <c r="G75">
        <v>1</v>
      </c>
      <c r="H75">
        <v>0.53708770000957795</v>
      </c>
      <c r="AW75" t="s">
        <v>13</v>
      </c>
      <c r="AX75">
        <v>1</v>
      </c>
      <c r="AY75">
        <v>0.53708770000957795</v>
      </c>
      <c r="AZ75" t="s">
        <v>142</v>
      </c>
      <c r="BO75" t="s">
        <v>145</v>
      </c>
      <c r="BP75">
        <v>1</v>
      </c>
      <c r="BQ75" t="s">
        <v>146</v>
      </c>
      <c r="BR75" t="s">
        <v>143</v>
      </c>
      <c r="BT75" t="s">
        <v>144</v>
      </c>
      <c r="BU75">
        <v>59.541352966157298</v>
      </c>
      <c r="BV75" t="s">
        <v>147</v>
      </c>
    </row>
    <row r="76" spans="1:74" x14ac:dyDescent="0.3">
      <c r="A76">
        <v>34</v>
      </c>
      <c r="B76" t="s">
        <v>66</v>
      </c>
      <c r="C76" t="s">
        <v>8</v>
      </c>
      <c r="D76" t="s">
        <v>9</v>
      </c>
      <c r="F76" t="s">
        <v>9</v>
      </c>
      <c r="G76">
        <v>1</v>
      </c>
      <c r="H76">
        <v>0.611692200007382</v>
      </c>
      <c r="AW76" t="s">
        <v>9</v>
      </c>
      <c r="AX76">
        <v>1</v>
      </c>
      <c r="AY76">
        <v>0.611692200007382</v>
      </c>
      <c r="AZ76" t="s">
        <v>142</v>
      </c>
      <c r="BO76" t="s">
        <v>145</v>
      </c>
      <c r="BP76">
        <v>1</v>
      </c>
      <c r="BQ76" t="s">
        <v>146</v>
      </c>
      <c r="BR76" t="s">
        <v>143</v>
      </c>
      <c r="BT76" t="s">
        <v>144</v>
      </c>
      <c r="BU76">
        <v>59.541352966157298</v>
      </c>
      <c r="BV76" t="s">
        <v>147</v>
      </c>
    </row>
    <row r="77" spans="1:74" x14ac:dyDescent="0.3">
      <c r="A77">
        <v>35</v>
      </c>
      <c r="B77" t="s">
        <v>61</v>
      </c>
      <c r="C77" t="s">
        <v>21</v>
      </c>
      <c r="D77" t="s">
        <v>22</v>
      </c>
      <c r="F77" t="s">
        <v>22</v>
      </c>
      <c r="G77">
        <v>1</v>
      </c>
      <c r="H77">
        <v>0.58256159999291401</v>
      </c>
      <c r="AW77" t="s">
        <v>22</v>
      </c>
      <c r="AX77">
        <v>1</v>
      </c>
      <c r="AY77">
        <v>0.58256159999291401</v>
      </c>
      <c r="AZ77" t="s">
        <v>142</v>
      </c>
      <c r="BO77" t="s">
        <v>145</v>
      </c>
      <c r="BP77">
        <v>1</v>
      </c>
      <c r="BQ77" t="s">
        <v>146</v>
      </c>
      <c r="BR77" t="s">
        <v>143</v>
      </c>
      <c r="BT77" t="s">
        <v>144</v>
      </c>
      <c r="BU77">
        <v>59.541352966157298</v>
      </c>
      <c r="BV77" t="s">
        <v>147</v>
      </c>
    </row>
    <row r="78" spans="1:74" x14ac:dyDescent="0.3">
      <c r="A78">
        <v>36</v>
      </c>
      <c r="B78" t="s">
        <v>56</v>
      </c>
      <c r="C78" t="s">
        <v>12</v>
      </c>
      <c r="D78" t="s">
        <v>13</v>
      </c>
      <c r="F78" t="s">
        <v>13</v>
      </c>
      <c r="G78">
        <v>1</v>
      </c>
      <c r="H78">
        <v>0.60788890000549101</v>
      </c>
      <c r="AW78" t="s">
        <v>13</v>
      </c>
      <c r="AX78">
        <v>1</v>
      </c>
      <c r="AY78">
        <v>0.60788890000549101</v>
      </c>
      <c r="AZ78" t="s">
        <v>142</v>
      </c>
      <c r="BO78" t="s">
        <v>145</v>
      </c>
      <c r="BP78">
        <v>1</v>
      </c>
      <c r="BQ78" t="s">
        <v>146</v>
      </c>
      <c r="BR78" t="s">
        <v>143</v>
      </c>
      <c r="BT78" t="s">
        <v>144</v>
      </c>
      <c r="BU78">
        <v>59.541352966157298</v>
      </c>
      <c r="BV78" t="s">
        <v>147</v>
      </c>
    </row>
    <row r="79" spans="1:74" x14ac:dyDescent="0.3">
      <c r="A79">
        <v>37</v>
      </c>
      <c r="B79" t="s">
        <v>59</v>
      </c>
      <c r="C79" t="s">
        <v>12</v>
      </c>
      <c r="D79" t="s">
        <v>13</v>
      </c>
      <c r="F79" t="s">
        <v>13</v>
      </c>
      <c r="G79">
        <v>1</v>
      </c>
      <c r="H79">
        <v>0.55260370002361003</v>
      </c>
      <c r="AW79" t="s">
        <v>13</v>
      </c>
      <c r="AX79">
        <v>1</v>
      </c>
      <c r="AY79">
        <v>0.55260370002361003</v>
      </c>
      <c r="AZ79" t="s">
        <v>142</v>
      </c>
      <c r="BO79" t="s">
        <v>145</v>
      </c>
      <c r="BP79">
        <v>1</v>
      </c>
      <c r="BQ79" t="s">
        <v>146</v>
      </c>
      <c r="BR79" t="s">
        <v>143</v>
      </c>
      <c r="BT79" t="s">
        <v>144</v>
      </c>
      <c r="BU79">
        <v>59.541352966157298</v>
      </c>
      <c r="BV79" t="s">
        <v>147</v>
      </c>
    </row>
    <row r="80" spans="1:74" x14ac:dyDescent="0.3">
      <c r="BA80">
        <v>168.727240700012</v>
      </c>
      <c r="BB80">
        <v>168.74386800001901</v>
      </c>
      <c r="BC80">
        <v>168.74386800001901</v>
      </c>
      <c r="BD80">
        <v>171.710670800006</v>
      </c>
      <c r="BE80" t="s">
        <v>141</v>
      </c>
      <c r="BF80">
        <v>2.9622126999893199</v>
      </c>
      <c r="BG80" t="s">
        <v>142</v>
      </c>
      <c r="BO80" t="s">
        <v>145</v>
      </c>
      <c r="BP80">
        <v>1</v>
      </c>
      <c r="BQ80" t="s">
        <v>146</v>
      </c>
      <c r="BR80" t="s">
        <v>143</v>
      </c>
      <c r="BT80" t="s">
        <v>144</v>
      </c>
      <c r="BU80">
        <v>59.541352966157298</v>
      </c>
      <c r="BV80" t="s">
        <v>147</v>
      </c>
    </row>
    <row r="81" spans="1:74" x14ac:dyDescent="0.3">
      <c r="A81">
        <v>0</v>
      </c>
      <c r="B81" t="s">
        <v>36</v>
      </c>
      <c r="C81" t="s">
        <v>8</v>
      </c>
      <c r="D81" t="s">
        <v>9</v>
      </c>
      <c r="F81" t="s">
        <v>9</v>
      </c>
      <c r="G81">
        <v>1</v>
      </c>
      <c r="H81">
        <v>0.61287660000380095</v>
      </c>
      <c r="BH81" t="s">
        <v>9</v>
      </c>
      <c r="BI81">
        <v>1</v>
      </c>
      <c r="BJ81">
        <v>0.61287660000380095</v>
      </c>
      <c r="BK81" t="s">
        <v>142</v>
      </c>
      <c r="BO81" t="s">
        <v>145</v>
      </c>
      <c r="BP81">
        <v>1</v>
      </c>
      <c r="BQ81" t="s">
        <v>146</v>
      </c>
      <c r="BR81" t="s">
        <v>143</v>
      </c>
      <c r="BT81" t="s">
        <v>144</v>
      </c>
      <c r="BU81">
        <v>59.541352966157298</v>
      </c>
      <c r="BV81" t="s">
        <v>147</v>
      </c>
    </row>
    <row r="82" spans="1:74" x14ac:dyDescent="0.3">
      <c r="A82">
        <v>1</v>
      </c>
      <c r="B82" t="s">
        <v>42</v>
      </c>
      <c r="C82" t="s">
        <v>12</v>
      </c>
      <c r="D82" t="s">
        <v>13</v>
      </c>
      <c r="F82" t="s">
        <v>13</v>
      </c>
      <c r="G82">
        <v>1</v>
      </c>
      <c r="H82">
        <v>0.50391369999851998</v>
      </c>
      <c r="BH82" t="s">
        <v>13</v>
      </c>
      <c r="BI82">
        <v>1</v>
      </c>
      <c r="BJ82">
        <v>0.50391369999851998</v>
      </c>
      <c r="BK82" t="s">
        <v>142</v>
      </c>
      <c r="BO82" t="s">
        <v>145</v>
      </c>
      <c r="BP82">
        <v>1</v>
      </c>
      <c r="BQ82" t="s">
        <v>146</v>
      </c>
      <c r="BR82" t="s">
        <v>143</v>
      </c>
      <c r="BT82" t="s">
        <v>144</v>
      </c>
      <c r="BU82">
        <v>59.541352966157298</v>
      </c>
      <c r="BV82" t="s">
        <v>147</v>
      </c>
    </row>
    <row r="83" spans="1:74" x14ac:dyDescent="0.3">
      <c r="A83">
        <v>2</v>
      </c>
      <c r="B83" t="s">
        <v>92</v>
      </c>
      <c r="C83" t="s">
        <v>17</v>
      </c>
      <c r="D83" t="s">
        <v>18</v>
      </c>
      <c r="F83" t="s">
        <v>18</v>
      </c>
      <c r="G83">
        <v>1</v>
      </c>
      <c r="H83">
        <v>0.62999459999264196</v>
      </c>
      <c r="BH83" t="s">
        <v>18</v>
      </c>
      <c r="BI83">
        <v>1</v>
      </c>
      <c r="BJ83">
        <v>0.62999459999264196</v>
      </c>
      <c r="BK83" t="s">
        <v>142</v>
      </c>
      <c r="BO83" t="s">
        <v>145</v>
      </c>
      <c r="BP83">
        <v>1</v>
      </c>
      <c r="BQ83" t="s">
        <v>146</v>
      </c>
      <c r="BR83" t="s">
        <v>143</v>
      </c>
      <c r="BT83" t="s">
        <v>144</v>
      </c>
      <c r="BU83">
        <v>59.541352966157298</v>
      </c>
      <c r="BV83" t="s">
        <v>147</v>
      </c>
    </row>
    <row r="84" spans="1:74" x14ac:dyDescent="0.3">
      <c r="A84">
        <v>3</v>
      </c>
      <c r="B84" t="s">
        <v>47</v>
      </c>
      <c r="C84" t="s">
        <v>8</v>
      </c>
      <c r="D84" t="s">
        <v>9</v>
      </c>
      <c r="F84" t="s">
        <v>9</v>
      </c>
      <c r="G84">
        <v>1</v>
      </c>
      <c r="H84">
        <v>0.87220489999162898</v>
      </c>
      <c r="BH84" t="s">
        <v>9</v>
      </c>
      <c r="BI84">
        <v>1</v>
      </c>
      <c r="BJ84">
        <v>0.87220489999162898</v>
      </c>
      <c r="BK84" t="s">
        <v>142</v>
      </c>
      <c r="BO84" t="s">
        <v>145</v>
      </c>
      <c r="BP84">
        <v>1</v>
      </c>
      <c r="BQ84" t="s">
        <v>146</v>
      </c>
      <c r="BR84" t="s">
        <v>143</v>
      </c>
      <c r="BT84" t="s">
        <v>144</v>
      </c>
      <c r="BU84">
        <v>59.541352966157298</v>
      </c>
      <c r="BV84" t="s">
        <v>147</v>
      </c>
    </row>
    <row r="85" spans="1:74" x14ac:dyDescent="0.3">
      <c r="A85">
        <v>4</v>
      </c>
      <c r="B85" t="s">
        <v>34</v>
      </c>
      <c r="C85" t="s">
        <v>17</v>
      </c>
      <c r="D85" t="s">
        <v>18</v>
      </c>
      <c r="F85" t="s">
        <v>13</v>
      </c>
      <c r="G85" s="1">
        <v>0</v>
      </c>
      <c r="H85">
        <v>1.31786999991163E-2</v>
      </c>
      <c r="BH85" t="s">
        <v>13</v>
      </c>
      <c r="BI85">
        <v>0</v>
      </c>
      <c r="BJ85">
        <v>1.31786999991163E-2</v>
      </c>
      <c r="BK85" t="s">
        <v>142</v>
      </c>
      <c r="BO85" t="s">
        <v>145</v>
      </c>
      <c r="BP85">
        <v>1</v>
      </c>
      <c r="BQ85" t="s">
        <v>146</v>
      </c>
      <c r="BR85" t="s">
        <v>143</v>
      </c>
      <c r="BT85" t="s">
        <v>144</v>
      </c>
      <c r="BU85">
        <v>59.541352966157298</v>
      </c>
      <c r="BV85" t="s">
        <v>147</v>
      </c>
    </row>
    <row r="86" spans="1:74" x14ac:dyDescent="0.3">
      <c r="A86">
        <v>5</v>
      </c>
      <c r="B86" t="s">
        <v>27</v>
      </c>
      <c r="C86" t="s">
        <v>21</v>
      </c>
      <c r="D86" t="s">
        <v>22</v>
      </c>
      <c r="F86" t="s">
        <v>22</v>
      </c>
      <c r="G86">
        <v>1</v>
      </c>
      <c r="H86">
        <v>0.59693699999479499</v>
      </c>
      <c r="BH86" t="s">
        <v>22</v>
      </c>
      <c r="BI86">
        <v>1</v>
      </c>
      <c r="BJ86">
        <v>0.59693699999479499</v>
      </c>
      <c r="BK86" t="s">
        <v>142</v>
      </c>
      <c r="BO86" t="s">
        <v>145</v>
      </c>
      <c r="BP86">
        <v>1</v>
      </c>
      <c r="BQ86" t="s">
        <v>146</v>
      </c>
      <c r="BR86" t="s">
        <v>143</v>
      </c>
      <c r="BT86" t="s">
        <v>144</v>
      </c>
      <c r="BU86">
        <v>59.541352966157298</v>
      </c>
      <c r="BV86" t="s">
        <v>147</v>
      </c>
    </row>
    <row r="87" spans="1:74" x14ac:dyDescent="0.3">
      <c r="A87">
        <v>6</v>
      </c>
      <c r="B87" t="s">
        <v>31</v>
      </c>
      <c r="C87" t="s">
        <v>8</v>
      </c>
      <c r="D87" t="s">
        <v>9</v>
      </c>
      <c r="F87" t="s">
        <v>9</v>
      </c>
      <c r="G87">
        <v>1</v>
      </c>
      <c r="H87">
        <v>0.95059370002127197</v>
      </c>
      <c r="BH87" t="s">
        <v>9</v>
      </c>
      <c r="BI87">
        <v>1</v>
      </c>
      <c r="BJ87">
        <v>0.95059370002127197</v>
      </c>
      <c r="BK87" t="s">
        <v>142</v>
      </c>
      <c r="BO87" t="s">
        <v>145</v>
      </c>
      <c r="BP87">
        <v>1</v>
      </c>
      <c r="BQ87" t="s">
        <v>146</v>
      </c>
      <c r="BR87" t="s">
        <v>143</v>
      </c>
      <c r="BT87" t="s">
        <v>144</v>
      </c>
      <c r="BU87">
        <v>59.541352966157298</v>
      </c>
      <c r="BV87" t="s">
        <v>147</v>
      </c>
    </row>
    <row r="88" spans="1:74" x14ac:dyDescent="0.3">
      <c r="A88">
        <v>7</v>
      </c>
      <c r="B88" t="s">
        <v>29</v>
      </c>
      <c r="C88" t="s">
        <v>17</v>
      </c>
      <c r="D88" t="s">
        <v>18</v>
      </c>
      <c r="F88" t="s">
        <v>18</v>
      </c>
      <c r="G88">
        <v>1</v>
      </c>
      <c r="H88">
        <v>0.75177440000697904</v>
      </c>
      <c r="BH88" t="s">
        <v>18</v>
      </c>
      <c r="BI88">
        <v>1</v>
      </c>
      <c r="BJ88">
        <v>0.75177440000697904</v>
      </c>
      <c r="BK88" t="s">
        <v>142</v>
      </c>
      <c r="BO88" t="s">
        <v>145</v>
      </c>
      <c r="BP88">
        <v>1</v>
      </c>
      <c r="BQ88" t="s">
        <v>146</v>
      </c>
      <c r="BR88" t="s">
        <v>143</v>
      </c>
      <c r="BT88" t="s">
        <v>144</v>
      </c>
      <c r="BU88">
        <v>59.541352966157298</v>
      </c>
      <c r="BV88" t="s">
        <v>147</v>
      </c>
    </row>
    <row r="89" spans="1:74" x14ac:dyDescent="0.3">
      <c r="A89">
        <v>8</v>
      </c>
      <c r="B89" t="s">
        <v>49</v>
      </c>
      <c r="C89" t="s">
        <v>17</v>
      </c>
      <c r="D89" t="s">
        <v>18</v>
      </c>
      <c r="F89" t="s">
        <v>18</v>
      </c>
      <c r="G89">
        <v>1</v>
      </c>
      <c r="H89">
        <v>0.60384339999291103</v>
      </c>
      <c r="BH89" t="s">
        <v>18</v>
      </c>
      <c r="BI89">
        <v>1</v>
      </c>
      <c r="BJ89">
        <v>0.60384339999291103</v>
      </c>
      <c r="BK89" t="s">
        <v>142</v>
      </c>
      <c r="BO89" t="s">
        <v>145</v>
      </c>
      <c r="BP89">
        <v>1</v>
      </c>
      <c r="BQ89" t="s">
        <v>146</v>
      </c>
      <c r="BR89" t="s">
        <v>143</v>
      </c>
      <c r="BT89" t="s">
        <v>144</v>
      </c>
      <c r="BU89">
        <v>59.541352966157298</v>
      </c>
      <c r="BV89" t="s">
        <v>147</v>
      </c>
    </row>
    <row r="90" spans="1:74" x14ac:dyDescent="0.3">
      <c r="A90">
        <v>9</v>
      </c>
      <c r="B90" t="s">
        <v>32</v>
      </c>
      <c r="C90" t="s">
        <v>17</v>
      </c>
      <c r="D90" t="s">
        <v>18</v>
      </c>
      <c r="F90" t="s">
        <v>18</v>
      </c>
      <c r="G90">
        <v>1</v>
      </c>
      <c r="H90">
        <v>0.68659519997891005</v>
      </c>
      <c r="BH90" t="s">
        <v>18</v>
      </c>
      <c r="BI90">
        <v>1</v>
      </c>
      <c r="BJ90">
        <v>0.68659519997891005</v>
      </c>
      <c r="BK90" t="s">
        <v>142</v>
      </c>
      <c r="BO90" t="s">
        <v>145</v>
      </c>
      <c r="BP90">
        <v>1</v>
      </c>
      <c r="BQ90" t="s">
        <v>146</v>
      </c>
      <c r="BR90" t="s">
        <v>143</v>
      </c>
      <c r="BT90" t="s">
        <v>144</v>
      </c>
      <c r="BU90">
        <v>59.541352966157298</v>
      </c>
      <c r="BV90" t="s">
        <v>147</v>
      </c>
    </row>
    <row r="91" spans="1:74" x14ac:dyDescent="0.3">
      <c r="A91">
        <v>10</v>
      </c>
      <c r="B91" t="s">
        <v>16</v>
      </c>
      <c r="C91" t="s">
        <v>17</v>
      </c>
      <c r="D91" t="s">
        <v>18</v>
      </c>
      <c r="F91" t="s">
        <v>18</v>
      </c>
      <c r="G91">
        <v>1</v>
      </c>
      <c r="H91">
        <v>0.73538130000815705</v>
      </c>
      <c r="BH91" t="s">
        <v>18</v>
      </c>
      <c r="BI91">
        <v>1</v>
      </c>
      <c r="BJ91">
        <v>0.73538130000815705</v>
      </c>
      <c r="BK91" t="s">
        <v>142</v>
      </c>
      <c r="BO91" t="s">
        <v>145</v>
      </c>
      <c r="BP91">
        <v>1</v>
      </c>
      <c r="BQ91" t="s">
        <v>146</v>
      </c>
      <c r="BR91" t="s">
        <v>143</v>
      </c>
      <c r="BT91" t="s">
        <v>144</v>
      </c>
      <c r="BU91">
        <v>59.541352966157298</v>
      </c>
      <c r="BV91" t="s">
        <v>147</v>
      </c>
    </row>
    <row r="92" spans="1:74" x14ac:dyDescent="0.3">
      <c r="A92">
        <v>11</v>
      </c>
      <c r="B92" t="s">
        <v>38</v>
      </c>
      <c r="C92" t="s">
        <v>21</v>
      </c>
      <c r="D92" t="s">
        <v>22</v>
      </c>
      <c r="F92" t="s">
        <v>22</v>
      </c>
      <c r="G92">
        <v>1</v>
      </c>
      <c r="H92">
        <v>1.1402714999858199</v>
      </c>
      <c r="BH92" t="s">
        <v>22</v>
      </c>
      <c r="BI92">
        <v>1</v>
      </c>
      <c r="BJ92">
        <v>1.1402714999858199</v>
      </c>
      <c r="BK92" t="s">
        <v>142</v>
      </c>
      <c r="BO92" t="s">
        <v>145</v>
      </c>
      <c r="BP92">
        <v>1</v>
      </c>
      <c r="BQ92" t="s">
        <v>146</v>
      </c>
      <c r="BR92" t="s">
        <v>143</v>
      </c>
      <c r="BT92" t="s">
        <v>144</v>
      </c>
      <c r="BU92">
        <v>59.541352966157298</v>
      </c>
      <c r="BV92" t="s">
        <v>147</v>
      </c>
    </row>
    <row r="93" spans="1:74" x14ac:dyDescent="0.3">
      <c r="A93">
        <v>12</v>
      </c>
      <c r="B93" t="s">
        <v>37</v>
      </c>
      <c r="C93" t="s">
        <v>8</v>
      </c>
      <c r="D93" t="s">
        <v>9</v>
      </c>
      <c r="F93" t="s">
        <v>9</v>
      </c>
      <c r="G93">
        <v>1</v>
      </c>
      <c r="H93">
        <v>0.93452579999575303</v>
      </c>
      <c r="BH93" t="s">
        <v>9</v>
      </c>
      <c r="BI93">
        <v>1</v>
      </c>
      <c r="BJ93">
        <v>0.93452579999575303</v>
      </c>
      <c r="BK93" t="s">
        <v>142</v>
      </c>
      <c r="BO93" t="s">
        <v>145</v>
      </c>
      <c r="BP93">
        <v>1</v>
      </c>
      <c r="BQ93" t="s">
        <v>146</v>
      </c>
      <c r="BR93" t="s">
        <v>143</v>
      </c>
      <c r="BT93" t="s">
        <v>144</v>
      </c>
      <c r="BU93">
        <v>59.541352966157298</v>
      </c>
      <c r="BV93" t="s">
        <v>147</v>
      </c>
    </row>
    <row r="94" spans="1:74" x14ac:dyDescent="0.3">
      <c r="A94">
        <v>13</v>
      </c>
      <c r="B94" t="s">
        <v>51</v>
      </c>
      <c r="C94" t="s">
        <v>8</v>
      </c>
      <c r="D94" t="s">
        <v>9</v>
      </c>
      <c r="F94" t="s">
        <v>22</v>
      </c>
      <c r="G94" s="1">
        <v>0</v>
      </c>
      <c r="H94">
        <v>0.51176400002441302</v>
      </c>
      <c r="BH94" t="s">
        <v>22</v>
      </c>
      <c r="BI94">
        <v>0</v>
      </c>
      <c r="BJ94">
        <v>0.51176400002441302</v>
      </c>
      <c r="BK94" t="s">
        <v>142</v>
      </c>
      <c r="BO94" t="s">
        <v>145</v>
      </c>
      <c r="BP94">
        <v>1</v>
      </c>
      <c r="BQ94" t="s">
        <v>146</v>
      </c>
      <c r="BR94" t="s">
        <v>143</v>
      </c>
      <c r="BT94" t="s">
        <v>144</v>
      </c>
      <c r="BU94">
        <v>59.541352966157298</v>
      </c>
      <c r="BV94" t="s">
        <v>147</v>
      </c>
    </row>
    <row r="95" spans="1:74" x14ac:dyDescent="0.3">
      <c r="A95">
        <v>14</v>
      </c>
      <c r="B95" t="s">
        <v>30</v>
      </c>
      <c r="C95" t="s">
        <v>8</v>
      </c>
      <c r="D95" t="s">
        <v>9</v>
      </c>
      <c r="F95" t="s">
        <v>9</v>
      </c>
      <c r="G95">
        <v>1</v>
      </c>
      <c r="H95">
        <v>0.51896770001621895</v>
      </c>
      <c r="BH95" t="s">
        <v>9</v>
      </c>
      <c r="BI95">
        <v>1</v>
      </c>
      <c r="BJ95">
        <v>0.51896770001621895</v>
      </c>
      <c r="BK95" t="s">
        <v>142</v>
      </c>
      <c r="BO95" t="s">
        <v>145</v>
      </c>
      <c r="BP95">
        <v>1</v>
      </c>
      <c r="BQ95" t="s">
        <v>146</v>
      </c>
      <c r="BR95" t="s">
        <v>143</v>
      </c>
      <c r="BT95" t="s">
        <v>144</v>
      </c>
      <c r="BU95">
        <v>59.541352966157298</v>
      </c>
      <c r="BV95" t="s">
        <v>147</v>
      </c>
    </row>
    <row r="96" spans="1:74" x14ac:dyDescent="0.3">
      <c r="A96">
        <v>15</v>
      </c>
      <c r="B96" t="s">
        <v>25</v>
      </c>
      <c r="C96" t="s">
        <v>21</v>
      </c>
      <c r="D96" t="s">
        <v>22</v>
      </c>
      <c r="F96" t="s">
        <v>22</v>
      </c>
      <c r="G96">
        <v>1</v>
      </c>
      <c r="H96">
        <v>1.07716519999667</v>
      </c>
      <c r="BH96" t="s">
        <v>22</v>
      </c>
      <c r="BI96">
        <v>1</v>
      </c>
      <c r="BJ96">
        <v>1.07716519999667</v>
      </c>
      <c r="BK96" t="s">
        <v>142</v>
      </c>
      <c r="BO96" t="s">
        <v>145</v>
      </c>
      <c r="BP96">
        <v>1</v>
      </c>
      <c r="BQ96" t="s">
        <v>146</v>
      </c>
      <c r="BR96" t="s">
        <v>143</v>
      </c>
      <c r="BT96" t="s">
        <v>144</v>
      </c>
      <c r="BU96">
        <v>59.541352966157298</v>
      </c>
      <c r="BV96" t="s">
        <v>147</v>
      </c>
    </row>
    <row r="97" spans="1:74" x14ac:dyDescent="0.3">
      <c r="A97">
        <v>16</v>
      </c>
      <c r="B97" t="s">
        <v>15</v>
      </c>
      <c r="C97" t="s">
        <v>12</v>
      </c>
      <c r="D97" t="s">
        <v>13</v>
      </c>
      <c r="F97" t="s">
        <v>13</v>
      </c>
      <c r="G97">
        <v>1</v>
      </c>
      <c r="H97">
        <v>0.68186780001269598</v>
      </c>
      <c r="BH97" t="s">
        <v>13</v>
      </c>
      <c r="BI97">
        <v>1</v>
      </c>
      <c r="BJ97">
        <v>0.68186780001269598</v>
      </c>
      <c r="BK97" t="s">
        <v>142</v>
      </c>
      <c r="BO97" t="s">
        <v>145</v>
      </c>
      <c r="BP97">
        <v>1</v>
      </c>
      <c r="BQ97" t="s">
        <v>146</v>
      </c>
      <c r="BR97" t="s">
        <v>143</v>
      </c>
      <c r="BT97" t="s">
        <v>144</v>
      </c>
      <c r="BU97">
        <v>59.541352966157298</v>
      </c>
      <c r="BV97" t="s">
        <v>147</v>
      </c>
    </row>
    <row r="98" spans="1:74" x14ac:dyDescent="0.3">
      <c r="A98">
        <v>17</v>
      </c>
      <c r="B98" t="s">
        <v>41</v>
      </c>
      <c r="C98" t="s">
        <v>21</v>
      </c>
      <c r="D98" t="s">
        <v>22</v>
      </c>
      <c r="F98" t="s">
        <v>22</v>
      </c>
      <c r="G98">
        <v>1</v>
      </c>
      <c r="H98">
        <v>3.0521942000195801</v>
      </c>
      <c r="BH98" t="s">
        <v>22</v>
      </c>
      <c r="BI98">
        <v>1</v>
      </c>
      <c r="BJ98">
        <v>3.0521942000195801</v>
      </c>
      <c r="BK98" t="s">
        <v>142</v>
      </c>
      <c r="BO98" t="s">
        <v>145</v>
      </c>
      <c r="BP98">
        <v>1</v>
      </c>
      <c r="BQ98" t="s">
        <v>146</v>
      </c>
      <c r="BR98" t="s">
        <v>143</v>
      </c>
      <c r="BT98" t="s">
        <v>144</v>
      </c>
      <c r="BU98">
        <v>59.541352966157298</v>
      </c>
      <c r="BV98" t="s">
        <v>147</v>
      </c>
    </row>
    <row r="99" spans="1:74" x14ac:dyDescent="0.3">
      <c r="A99">
        <v>18</v>
      </c>
      <c r="B99" t="s">
        <v>40</v>
      </c>
      <c r="C99" t="s">
        <v>8</v>
      </c>
      <c r="D99" t="s">
        <v>9</v>
      </c>
      <c r="F99" t="s">
        <v>9</v>
      </c>
      <c r="G99">
        <v>1</v>
      </c>
      <c r="H99">
        <v>0.76198419998399902</v>
      </c>
      <c r="BH99" t="s">
        <v>9</v>
      </c>
      <c r="BI99">
        <v>1</v>
      </c>
      <c r="BJ99">
        <v>0.76198419998399902</v>
      </c>
      <c r="BK99" t="s">
        <v>142</v>
      </c>
      <c r="BO99" t="s">
        <v>145</v>
      </c>
      <c r="BP99">
        <v>1</v>
      </c>
      <c r="BQ99" t="s">
        <v>146</v>
      </c>
      <c r="BR99" t="s">
        <v>143</v>
      </c>
      <c r="BT99" t="s">
        <v>144</v>
      </c>
      <c r="BU99">
        <v>59.541352966157298</v>
      </c>
      <c r="BV99" t="s">
        <v>147</v>
      </c>
    </row>
    <row r="100" spans="1:74" x14ac:dyDescent="0.3">
      <c r="A100">
        <v>19</v>
      </c>
      <c r="B100" t="s">
        <v>53</v>
      </c>
      <c r="C100" t="s">
        <v>12</v>
      </c>
      <c r="D100" t="s">
        <v>13</v>
      </c>
      <c r="F100" t="s">
        <v>13</v>
      </c>
      <c r="G100">
        <v>1</v>
      </c>
      <c r="H100">
        <v>0.64277959999162704</v>
      </c>
      <c r="BH100" t="s">
        <v>13</v>
      </c>
      <c r="BI100">
        <v>1</v>
      </c>
      <c r="BJ100">
        <v>0.64277959999162704</v>
      </c>
      <c r="BK100" t="s">
        <v>142</v>
      </c>
      <c r="BO100" t="s">
        <v>145</v>
      </c>
      <c r="BP100">
        <v>1</v>
      </c>
      <c r="BQ100" t="s">
        <v>146</v>
      </c>
      <c r="BR100" t="s">
        <v>143</v>
      </c>
      <c r="BT100" t="s">
        <v>144</v>
      </c>
      <c r="BU100">
        <v>59.541352966157298</v>
      </c>
      <c r="BV100" t="s">
        <v>147</v>
      </c>
    </row>
    <row r="101" spans="1:74" x14ac:dyDescent="0.3">
      <c r="A101">
        <v>20</v>
      </c>
      <c r="B101" t="s">
        <v>48</v>
      </c>
      <c r="C101" t="s">
        <v>12</v>
      </c>
      <c r="D101" t="s">
        <v>13</v>
      </c>
      <c r="F101" t="s">
        <v>13</v>
      </c>
      <c r="G101">
        <v>1</v>
      </c>
      <c r="H101">
        <v>1.5263508000061801</v>
      </c>
      <c r="BH101" t="s">
        <v>13</v>
      </c>
      <c r="BI101">
        <v>1</v>
      </c>
      <c r="BJ101">
        <v>1.5263508000061801</v>
      </c>
      <c r="BK101" t="s">
        <v>142</v>
      </c>
      <c r="BO101" t="s">
        <v>145</v>
      </c>
      <c r="BP101">
        <v>1</v>
      </c>
      <c r="BQ101" t="s">
        <v>146</v>
      </c>
      <c r="BR101" t="s">
        <v>143</v>
      </c>
      <c r="BT101" t="s">
        <v>144</v>
      </c>
      <c r="BU101">
        <v>59.541352966157298</v>
      </c>
      <c r="BV101" t="s">
        <v>147</v>
      </c>
    </row>
    <row r="102" spans="1:74" x14ac:dyDescent="0.3">
      <c r="A102">
        <v>21</v>
      </c>
      <c r="B102" t="s">
        <v>39</v>
      </c>
      <c r="C102" t="s">
        <v>12</v>
      </c>
      <c r="D102" t="s">
        <v>13</v>
      </c>
      <c r="F102" t="s">
        <v>13</v>
      </c>
      <c r="G102">
        <v>1</v>
      </c>
      <c r="H102">
        <v>0.65039049999904797</v>
      </c>
      <c r="BH102" t="s">
        <v>13</v>
      </c>
      <c r="BI102">
        <v>1</v>
      </c>
      <c r="BJ102">
        <v>0.65039049999904797</v>
      </c>
      <c r="BK102" t="s">
        <v>142</v>
      </c>
      <c r="BO102" t="s">
        <v>145</v>
      </c>
      <c r="BP102">
        <v>1</v>
      </c>
      <c r="BQ102" t="s">
        <v>146</v>
      </c>
      <c r="BR102" t="s">
        <v>143</v>
      </c>
      <c r="BT102" t="s">
        <v>144</v>
      </c>
      <c r="BU102">
        <v>59.541352966157298</v>
      </c>
      <c r="BV102" t="s">
        <v>147</v>
      </c>
    </row>
    <row r="103" spans="1:74" x14ac:dyDescent="0.3">
      <c r="A103">
        <v>22</v>
      </c>
      <c r="B103" t="s">
        <v>52</v>
      </c>
      <c r="C103" t="s">
        <v>17</v>
      </c>
      <c r="D103" t="s">
        <v>18</v>
      </c>
      <c r="F103" t="s">
        <v>18</v>
      </c>
      <c r="G103">
        <v>1</v>
      </c>
      <c r="H103">
        <v>0.71119750000070703</v>
      </c>
      <c r="BH103" t="s">
        <v>18</v>
      </c>
      <c r="BI103">
        <v>1</v>
      </c>
      <c r="BJ103">
        <v>0.71119750000070703</v>
      </c>
      <c r="BK103" t="s">
        <v>142</v>
      </c>
      <c r="BO103" t="s">
        <v>145</v>
      </c>
      <c r="BP103">
        <v>1</v>
      </c>
      <c r="BQ103" t="s">
        <v>146</v>
      </c>
      <c r="BR103" t="s">
        <v>143</v>
      </c>
      <c r="BT103" t="s">
        <v>144</v>
      </c>
      <c r="BU103">
        <v>59.541352966157298</v>
      </c>
      <c r="BV103" t="s">
        <v>147</v>
      </c>
    </row>
    <row r="104" spans="1:74" x14ac:dyDescent="0.3">
      <c r="A104">
        <v>23</v>
      </c>
      <c r="B104" t="s">
        <v>20</v>
      </c>
      <c r="C104" t="s">
        <v>21</v>
      </c>
      <c r="D104" t="s">
        <v>22</v>
      </c>
      <c r="F104" t="s">
        <v>22</v>
      </c>
      <c r="G104">
        <v>1</v>
      </c>
      <c r="H104">
        <v>1.07629640001687</v>
      </c>
      <c r="BH104" t="s">
        <v>22</v>
      </c>
      <c r="BI104">
        <v>1</v>
      </c>
      <c r="BJ104">
        <v>1.07629640001687</v>
      </c>
      <c r="BK104" t="s">
        <v>142</v>
      </c>
      <c r="BO104" t="s">
        <v>145</v>
      </c>
      <c r="BP104">
        <v>1</v>
      </c>
      <c r="BQ104" t="s">
        <v>146</v>
      </c>
      <c r="BR104" t="s">
        <v>143</v>
      </c>
      <c r="BT104" t="s">
        <v>144</v>
      </c>
      <c r="BU104">
        <v>59.541352966157298</v>
      </c>
      <c r="BV104" t="s">
        <v>147</v>
      </c>
    </row>
    <row r="105" spans="1:74" x14ac:dyDescent="0.3">
      <c r="A105">
        <v>24</v>
      </c>
      <c r="B105" t="s">
        <v>19</v>
      </c>
      <c r="C105" t="s">
        <v>12</v>
      </c>
      <c r="D105" t="s">
        <v>13</v>
      </c>
      <c r="F105" t="s">
        <v>13</v>
      </c>
      <c r="G105">
        <v>1</v>
      </c>
      <c r="H105">
        <v>0.90951399999903504</v>
      </c>
      <c r="BH105" t="s">
        <v>13</v>
      </c>
      <c r="BI105">
        <v>1</v>
      </c>
      <c r="BJ105">
        <v>0.90951399999903504</v>
      </c>
      <c r="BK105" t="s">
        <v>142</v>
      </c>
      <c r="BO105" t="s">
        <v>145</v>
      </c>
      <c r="BP105">
        <v>1</v>
      </c>
      <c r="BQ105" t="s">
        <v>146</v>
      </c>
      <c r="BR105" t="s">
        <v>143</v>
      </c>
      <c r="BT105" t="s">
        <v>144</v>
      </c>
      <c r="BU105">
        <v>59.541352966157298</v>
      </c>
      <c r="BV105" t="s">
        <v>147</v>
      </c>
    </row>
    <row r="106" spans="1:74" x14ac:dyDescent="0.3">
      <c r="A106">
        <v>25</v>
      </c>
      <c r="B106" t="s">
        <v>23</v>
      </c>
      <c r="C106" t="s">
        <v>17</v>
      </c>
      <c r="D106" t="s">
        <v>18</v>
      </c>
      <c r="F106" t="s">
        <v>18</v>
      </c>
      <c r="G106">
        <v>1</v>
      </c>
      <c r="H106">
        <v>0.78627909999340695</v>
      </c>
      <c r="BH106" t="s">
        <v>18</v>
      </c>
      <c r="BI106">
        <v>1</v>
      </c>
      <c r="BJ106">
        <v>0.78627909999340695</v>
      </c>
      <c r="BK106" t="s">
        <v>142</v>
      </c>
      <c r="BO106" t="s">
        <v>145</v>
      </c>
      <c r="BP106">
        <v>1</v>
      </c>
      <c r="BQ106" t="s">
        <v>146</v>
      </c>
      <c r="BR106" t="s">
        <v>143</v>
      </c>
      <c r="BT106" t="s">
        <v>144</v>
      </c>
      <c r="BU106">
        <v>59.541352966157298</v>
      </c>
      <c r="BV106" t="s">
        <v>147</v>
      </c>
    </row>
    <row r="107" spans="1:74" x14ac:dyDescent="0.3">
      <c r="A107">
        <v>26</v>
      </c>
      <c r="B107" t="s">
        <v>50</v>
      </c>
      <c r="C107" t="s">
        <v>21</v>
      </c>
      <c r="D107" t="s">
        <v>22</v>
      </c>
      <c r="F107" t="s">
        <v>22</v>
      </c>
      <c r="G107">
        <v>1</v>
      </c>
      <c r="H107">
        <v>0.47469400000409201</v>
      </c>
      <c r="BH107" t="s">
        <v>22</v>
      </c>
      <c r="BI107">
        <v>1</v>
      </c>
      <c r="BJ107">
        <v>0.47469400000409201</v>
      </c>
      <c r="BK107" t="s">
        <v>142</v>
      </c>
      <c r="BO107" t="s">
        <v>145</v>
      </c>
      <c r="BP107">
        <v>1</v>
      </c>
      <c r="BQ107" t="s">
        <v>146</v>
      </c>
      <c r="BR107" t="s">
        <v>143</v>
      </c>
      <c r="BT107" t="s">
        <v>144</v>
      </c>
      <c r="BU107">
        <v>59.541352966157298</v>
      </c>
      <c r="BV107" t="s">
        <v>147</v>
      </c>
    </row>
    <row r="108" spans="1:74" x14ac:dyDescent="0.3">
      <c r="A108">
        <v>27</v>
      </c>
      <c r="B108" t="s">
        <v>24</v>
      </c>
      <c r="C108" t="s">
        <v>21</v>
      </c>
      <c r="D108" t="s">
        <v>22</v>
      </c>
      <c r="F108" t="s">
        <v>22</v>
      </c>
      <c r="G108">
        <v>1</v>
      </c>
      <c r="H108">
        <v>0.60455980000551701</v>
      </c>
      <c r="BH108" t="s">
        <v>22</v>
      </c>
      <c r="BI108">
        <v>1</v>
      </c>
      <c r="BJ108">
        <v>0.60455980000551701</v>
      </c>
      <c r="BK108" t="s">
        <v>142</v>
      </c>
      <c r="BO108" t="s">
        <v>145</v>
      </c>
      <c r="BP108">
        <v>1</v>
      </c>
      <c r="BQ108" t="s">
        <v>146</v>
      </c>
      <c r="BR108" t="s">
        <v>143</v>
      </c>
      <c r="BT108" t="s">
        <v>144</v>
      </c>
      <c r="BU108">
        <v>59.541352966157298</v>
      </c>
      <c r="BV108" t="s">
        <v>147</v>
      </c>
    </row>
    <row r="109" spans="1:74" x14ac:dyDescent="0.3">
      <c r="A109">
        <v>28</v>
      </c>
      <c r="B109" t="s">
        <v>44</v>
      </c>
      <c r="C109" t="s">
        <v>12</v>
      </c>
      <c r="D109" t="s">
        <v>13</v>
      </c>
      <c r="F109" t="s">
        <v>13</v>
      </c>
      <c r="G109">
        <v>1</v>
      </c>
      <c r="H109">
        <v>0.58606349999899898</v>
      </c>
      <c r="BH109" t="s">
        <v>13</v>
      </c>
      <c r="BI109">
        <v>1</v>
      </c>
      <c r="BJ109">
        <v>0.58606349999899898</v>
      </c>
      <c r="BK109" t="s">
        <v>142</v>
      </c>
      <c r="BO109" t="s">
        <v>145</v>
      </c>
      <c r="BP109">
        <v>1</v>
      </c>
      <c r="BQ109" t="s">
        <v>146</v>
      </c>
      <c r="BR109" t="s">
        <v>143</v>
      </c>
      <c r="BT109" t="s">
        <v>144</v>
      </c>
      <c r="BU109">
        <v>59.541352966157298</v>
      </c>
      <c r="BV109" t="s">
        <v>147</v>
      </c>
    </row>
    <row r="110" spans="1:74" x14ac:dyDescent="0.3">
      <c r="A110">
        <v>29</v>
      </c>
      <c r="B110" t="s">
        <v>46</v>
      </c>
      <c r="C110" t="s">
        <v>21</v>
      </c>
      <c r="D110" t="s">
        <v>22</v>
      </c>
      <c r="F110" t="s">
        <v>22</v>
      </c>
      <c r="G110">
        <v>1</v>
      </c>
      <c r="H110">
        <v>0.55366499998490304</v>
      </c>
      <c r="BH110" t="s">
        <v>22</v>
      </c>
      <c r="BI110">
        <v>1</v>
      </c>
      <c r="BJ110">
        <v>0.55366499998490304</v>
      </c>
      <c r="BK110" t="s">
        <v>142</v>
      </c>
      <c r="BO110" t="s">
        <v>145</v>
      </c>
      <c r="BP110">
        <v>1</v>
      </c>
      <c r="BQ110" t="s">
        <v>146</v>
      </c>
      <c r="BR110" t="s">
        <v>143</v>
      </c>
      <c r="BT110" t="s">
        <v>144</v>
      </c>
      <c r="BU110">
        <v>59.541352966157298</v>
      </c>
      <c r="BV110" t="s">
        <v>147</v>
      </c>
    </row>
    <row r="111" spans="1:74" x14ac:dyDescent="0.3">
      <c r="A111">
        <v>30</v>
      </c>
      <c r="B111" t="s">
        <v>14</v>
      </c>
      <c r="C111" t="s">
        <v>8</v>
      </c>
      <c r="D111" t="s">
        <v>9</v>
      </c>
      <c r="F111" t="s">
        <v>9</v>
      </c>
      <c r="G111">
        <v>1</v>
      </c>
      <c r="H111">
        <v>0.62635189999127705</v>
      </c>
      <c r="BH111" t="s">
        <v>9</v>
      </c>
      <c r="BI111">
        <v>1</v>
      </c>
      <c r="BJ111">
        <v>0.62635189999127705</v>
      </c>
      <c r="BK111" t="s">
        <v>142</v>
      </c>
      <c r="BO111" t="s">
        <v>145</v>
      </c>
      <c r="BP111">
        <v>1</v>
      </c>
      <c r="BQ111" t="s">
        <v>146</v>
      </c>
      <c r="BR111" t="s">
        <v>143</v>
      </c>
      <c r="BT111" t="s">
        <v>144</v>
      </c>
      <c r="BU111">
        <v>59.541352966157298</v>
      </c>
      <c r="BV111" t="s">
        <v>147</v>
      </c>
    </row>
    <row r="112" spans="1:74" x14ac:dyDescent="0.3">
      <c r="A112">
        <v>31</v>
      </c>
      <c r="B112" t="s">
        <v>35</v>
      </c>
      <c r="C112" t="s">
        <v>17</v>
      </c>
      <c r="D112" t="s">
        <v>18</v>
      </c>
      <c r="F112" t="s">
        <v>18</v>
      </c>
      <c r="G112">
        <v>1</v>
      </c>
      <c r="H112">
        <v>0.686721700010821</v>
      </c>
      <c r="BH112" t="s">
        <v>18</v>
      </c>
      <c r="BI112">
        <v>1</v>
      </c>
      <c r="BJ112">
        <v>0.686721700010821</v>
      </c>
      <c r="BK112" t="s">
        <v>142</v>
      </c>
      <c r="BO112" t="s">
        <v>145</v>
      </c>
      <c r="BP112">
        <v>1</v>
      </c>
      <c r="BQ112" t="s">
        <v>146</v>
      </c>
      <c r="BR112" t="s">
        <v>143</v>
      </c>
      <c r="BT112" t="s">
        <v>144</v>
      </c>
      <c r="BU112">
        <v>59.541352966157298</v>
      </c>
      <c r="BV112" t="s">
        <v>147</v>
      </c>
    </row>
    <row r="113" spans="1:74" x14ac:dyDescent="0.3">
      <c r="A113">
        <v>32</v>
      </c>
      <c r="B113" t="s">
        <v>11</v>
      </c>
      <c r="C113" t="s">
        <v>12</v>
      </c>
      <c r="D113" t="s">
        <v>13</v>
      </c>
      <c r="F113" t="s">
        <v>13</v>
      </c>
      <c r="G113">
        <v>1</v>
      </c>
      <c r="H113">
        <v>0.62829860000056204</v>
      </c>
      <c r="BH113" t="s">
        <v>13</v>
      </c>
      <c r="BI113">
        <v>1</v>
      </c>
      <c r="BJ113">
        <v>0.62829860000056204</v>
      </c>
      <c r="BK113" t="s">
        <v>142</v>
      </c>
      <c r="BO113" t="s">
        <v>145</v>
      </c>
      <c r="BP113">
        <v>1</v>
      </c>
      <c r="BQ113" t="s">
        <v>146</v>
      </c>
      <c r="BR113" t="s">
        <v>143</v>
      </c>
      <c r="BT113" t="s">
        <v>144</v>
      </c>
      <c r="BU113">
        <v>59.541352966157298</v>
      </c>
      <c r="BV113" t="s">
        <v>147</v>
      </c>
    </row>
    <row r="114" spans="1:74" x14ac:dyDescent="0.3">
      <c r="A114">
        <v>33</v>
      </c>
      <c r="B114" t="s">
        <v>7</v>
      </c>
      <c r="C114" t="s">
        <v>8</v>
      </c>
      <c r="D114" t="s">
        <v>9</v>
      </c>
      <c r="F114" t="s">
        <v>9</v>
      </c>
      <c r="G114">
        <v>1</v>
      </c>
      <c r="H114">
        <v>0.65026260001468394</v>
      </c>
      <c r="BH114" t="s">
        <v>9</v>
      </c>
      <c r="BI114">
        <v>1</v>
      </c>
      <c r="BJ114">
        <v>0.65026260001468394</v>
      </c>
      <c r="BK114" t="s">
        <v>142</v>
      </c>
      <c r="BO114" t="s">
        <v>145</v>
      </c>
      <c r="BP114">
        <v>1</v>
      </c>
      <c r="BQ114" t="s">
        <v>146</v>
      </c>
      <c r="BR114" t="s">
        <v>143</v>
      </c>
      <c r="BT114" t="s">
        <v>144</v>
      </c>
      <c r="BU114">
        <v>59.541352966157298</v>
      </c>
      <c r="BV114" t="s">
        <v>147</v>
      </c>
    </row>
    <row r="115" spans="1:74" x14ac:dyDescent="0.3">
      <c r="A115">
        <v>34</v>
      </c>
      <c r="B115" t="s">
        <v>45</v>
      </c>
      <c r="C115" t="s">
        <v>21</v>
      </c>
      <c r="D115" t="s">
        <v>22</v>
      </c>
      <c r="F115" t="s">
        <v>22</v>
      </c>
      <c r="G115">
        <v>1</v>
      </c>
      <c r="H115">
        <v>0.69549939999706101</v>
      </c>
      <c r="BH115" t="s">
        <v>22</v>
      </c>
      <c r="BI115">
        <v>1</v>
      </c>
      <c r="BJ115">
        <v>0.69549939999706101</v>
      </c>
      <c r="BK115" t="s">
        <v>142</v>
      </c>
      <c r="BO115" t="s">
        <v>145</v>
      </c>
      <c r="BP115">
        <v>1</v>
      </c>
      <c r="BQ115" t="s">
        <v>146</v>
      </c>
      <c r="BR115" t="s">
        <v>143</v>
      </c>
      <c r="BT115" t="s">
        <v>144</v>
      </c>
      <c r="BU115">
        <v>59.541352966157298</v>
      </c>
      <c r="BV115" t="s">
        <v>147</v>
      </c>
    </row>
    <row r="116" spans="1:74" x14ac:dyDescent="0.3">
      <c r="A116">
        <v>35</v>
      </c>
      <c r="B116" t="s">
        <v>43</v>
      </c>
      <c r="C116" t="s">
        <v>21</v>
      </c>
      <c r="D116" t="s">
        <v>22</v>
      </c>
      <c r="F116" t="s">
        <v>22</v>
      </c>
      <c r="G116">
        <v>1</v>
      </c>
      <c r="H116">
        <v>1.5992205000074999</v>
      </c>
      <c r="BH116" t="s">
        <v>22</v>
      </c>
      <c r="BI116">
        <v>1</v>
      </c>
      <c r="BJ116">
        <v>1.5992205000074999</v>
      </c>
      <c r="BK116" t="s">
        <v>142</v>
      </c>
      <c r="BO116" t="s">
        <v>145</v>
      </c>
      <c r="BP116">
        <v>1</v>
      </c>
      <c r="BQ116" t="s">
        <v>146</v>
      </c>
      <c r="BR116" t="s">
        <v>143</v>
      </c>
      <c r="BT116" t="s">
        <v>144</v>
      </c>
      <c r="BU116">
        <v>59.541352966157298</v>
      </c>
      <c r="BV116" t="s">
        <v>147</v>
      </c>
    </row>
    <row r="117" spans="1:74" x14ac:dyDescent="0.3">
      <c r="A117">
        <v>36</v>
      </c>
      <c r="B117" t="s">
        <v>33</v>
      </c>
      <c r="C117" t="s">
        <v>8</v>
      </c>
      <c r="D117" t="s">
        <v>9</v>
      </c>
      <c r="F117" t="s">
        <v>9</v>
      </c>
      <c r="G117">
        <v>1</v>
      </c>
      <c r="H117">
        <v>0.84603699998115101</v>
      </c>
      <c r="BH117" t="s">
        <v>9</v>
      </c>
      <c r="BI117">
        <v>1</v>
      </c>
      <c r="BJ117">
        <v>0.84603699998115101</v>
      </c>
      <c r="BK117" t="s">
        <v>142</v>
      </c>
      <c r="BO117" t="s">
        <v>145</v>
      </c>
      <c r="BP117">
        <v>1</v>
      </c>
      <c r="BQ117" t="s">
        <v>146</v>
      </c>
      <c r="BR117" t="s">
        <v>143</v>
      </c>
      <c r="BT117" t="s">
        <v>144</v>
      </c>
      <c r="BU117">
        <v>59.541352966157298</v>
      </c>
      <c r="BV117" t="s">
        <v>147</v>
      </c>
    </row>
    <row r="118" spans="1:74" x14ac:dyDescent="0.3">
      <c r="A118">
        <v>37</v>
      </c>
      <c r="B118" t="s">
        <v>26</v>
      </c>
      <c r="C118" t="s">
        <v>12</v>
      </c>
      <c r="D118" t="s">
        <v>13</v>
      </c>
      <c r="F118" t="s">
        <v>13</v>
      </c>
      <c r="G118">
        <v>1</v>
      </c>
      <c r="H118">
        <v>0.63003669999306999</v>
      </c>
      <c r="BH118" t="s">
        <v>13</v>
      </c>
      <c r="BI118">
        <v>1</v>
      </c>
      <c r="BJ118">
        <v>0.63003669999306999</v>
      </c>
      <c r="BK118" t="s">
        <v>142</v>
      </c>
      <c r="BO118" t="s">
        <v>145</v>
      </c>
      <c r="BP118">
        <v>1</v>
      </c>
      <c r="BQ118" t="s">
        <v>146</v>
      </c>
      <c r="BR118" t="s">
        <v>143</v>
      </c>
      <c r="BT118" t="s">
        <v>144</v>
      </c>
      <c r="BU118">
        <v>59.541352966157298</v>
      </c>
      <c r="BV118" t="s">
        <v>147</v>
      </c>
    </row>
    <row r="119" spans="1:74" x14ac:dyDescent="0.3">
      <c r="BL119">
        <v>240.57738110001</v>
      </c>
      <c r="BM119">
        <v>240.593531899998</v>
      </c>
      <c r="BN119">
        <v>240.593531899998</v>
      </c>
    </row>
  </sheetData>
  <autoFilter ref="G80:G1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topLeftCell="C110" workbookViewId="0">
      <selection activeCell="L136" sqref="L13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101</v>
      </c>
      <c r="E1" t="s">
        <v>4</v>
      </c>
      <c r="F1" t="s">
        <v>5</v>
      </c>
      <c r="G1" t="s">
        <v>102</v>
      </c>
      <c r="H1" t="s">
        <v>6</v>
      </c>
    </row>
    <row r="3" spans="1:11" x14ac:dyDescent="0.3">
      <c r="A3">
        <v>0</v>
      </c>
      <c r="B3" t="s">
        <v>49</v>
      </c>
      <c r="C3" t="s">
        <v>17</v>
      </c>
      <c r="D3" t="s">
        <v>18</v>
      </c>
      <c r="E3" t="s">
        <v>10</v>
      </c>
      <c r="F3" t="s">
        <v>18</v>
      </c>
      <c r="G3">
        <v>1</v>
      </c>
      <c r="H3">
        <v>3.3327514000120502</v>
      </c>
    </row>
    <row r="4" spans="1:11" x14ac:dyDescent="0.3">
      <c r="A4">
        <v>1</v>
      </c>
      <c r="B4" t="s">
        <v>37</v>
      </c>
      <c r="C4" t="s">
        <v>8</v>
      </c>
      <c r="D4" t="s">
        <v>9</v>
      </c>
      <c r="E4" t="s">
        <v>10</v>
      </c>
      <c r="F4" t="s">
        <v>9</v>
      </c>
      <c r="G4">
        <v>1</v>
      </c>
      <c r="H4">
        <v>1.35389200001372</v>
      </c>
    </row>
    <row r="5" spans="1:11" x14ac:dyDescent="0.3">
      <c r="A5">
        <v>2</v>
      </c>
      <c r="B5" t="s">
        <v>52</v>
      </c>
      <c r="C5" t="s">
        <v>17</v>
      </c>
      <c r="D5" t="s">
        <v>18</v>
      </c>
      <c r="E5" t="s">
        <v>10</v>
      </c>
      <c r="F5" t="s">
        <v>18</v>
      </c>
      <c r="G5">
        <v>1</v>
      </c>
      <c r="H5">
        <v>1.3545543000218401</v>
      </c>
    </row>
    <row r="6" spans="1:11" x14ac:dyDescent="0.3">
      <c r="A6">
        <v>3</v>
      </c>
      <c r="B6" t="s">
        <v>34</v>
      </c>
      <c r="C6" t="s">
        <v>17</v>
      </c>
      <c r="D6" t="s">
        <v>18</v>
      </c>
      <c r="E6" t="s">
        <v>10</v>
      </c>
      <c r="F6" t="s">
        <v>18</v>
      </c>
      <c r="G6">
        <v>1</v>
      </c>
      <c r="H6">
        <v>1.1922572000185001</v>
      </c>
    </row>
    <row r="7" spans="1:11" x14ac:dyDescent="0.3">
      <c r="A7">
        <v>4</v>
      </c>
      <c r="B7" t="s">
        <v>33</v>
      </c>
      <c r="C7" t="s">
        <v>8</v>
      </c>
      <c r="D7" t="s">
        <v>9</v>
      </c>
      <c r="E7" t="s">
        <v>10</v>
      </c>
      <c r="F7" t="s">
        <v>9</v>
      </c>
      <c r="G7">
        <v>1</v>
      </c>
      <c r="H7">
        <v>1.0432875999831499</v>
      </c>
    </row>
    <row r="8" spans="1:11" x14ac:dyDescent="0.3">
      <c r="A8">
        <v>5</v>
      </c>
      <c r="B8" t="s">
        <v>15</v>
      </c>
      <c r="C8" t="s">
        <v>12</v>
      </c>
      <c r="D8" t="s">
        <v>13</v>
      </c>
      <c r="E8" t="s">
        <v>10</v>
      </c>
      <c r="F8" t="s">
        <v>9</v>
      </c>
      <c r="G8" s="1">
        <v>0</v>
      </c>
      <c r="H8">
        <v>3.6920267000095901</v>
      </c>
    </row>
    <row r="9" spans="1:11" x14ac:dyDescent="0.3">
      <c r="A9">
        <v>6</v>
      </c>
      <c r="B9" t="s">
        <v>41</v>
      </c>
      <c r="C9" t="s">
        <v>21</v>
      </c>
      <c r="D9" t="s">
        <v>22</v>
      </c>
      <c r="E9" t="s">
        <v>10</v>
      </c>
      <c r="F9" t="s">
        <v>22</v>
      </c>
      <c r="G9">
        <v>1</v>
      </c>
      <c r="H9">
        <v>1.8641795000003101</v>
      </c>
      <c r="J9" t="s">
        <v>93</v>
      </c>
      <c r="K9" t="s">
        <v>97</v>
      </c>
    </row>
    <row r="10" spans="1:11" x14ac:dyDescent="0.3">
      <c r="A10">
        <v>7</v>
      </c>
      <c r="B10" t="s">
        <v>39</v>
      </c>
      <c r="C10" t="s">
        <v>12</v>
      </c>
      <c r="D10" t="s">
        <v>13</v>
      </c>
      <c r="E10" t="s">
        <v>10</v>
      </c>
      <c r="F10" t="s">
        <v>9</v>
      </c>
      <c r="G10" s="1">
        <v>0</v>
      </c>
      <c r="H10">
        <v>2.8954056999937099</v>
      </c>
      <c r="J10" t="s">
        <v>94</v>
      </c>
      <c r="K10">
        <f>AVERAGE(H3:H40)</f>
        <v>2.2671206421050254</v>
      </c>
    </row>
    <row r="11" spans="1:11" x14ac:dyDescent="0.3">
      <c r="A11">
        <v>8</v>
      </c>
      <c r="B11" t="s">
        <v>45</v>
      </c>
      <c r="C11" t="s">
        <v>21</v>
      </c>
      <c r="D11" t="s">
        <v>22</v>
      </c>
      <c r="E11" t="s">
        <v>10</v>
      </c>
      <c r="F11" t="s">
        <v>22</v>
      </c>
      <c r="G11">
        <v>1</v>
      </c>
      <c r="H11">
        <v>1.4607441000116499</v>
      </c>
      <c r="J11" t="s">
        <v>95</v>
      </c>
      <c r="K11">
        <f>AVERAGE(H42:H79)</f>
        <v>1.4264868236840729</v>
      </c>
    </row>
    <row r="12" spans="1:11" x14ac:dyDescent="0.3">
      <c r="A12">
        <v>9</v>
      </c>
      <c r="B12" t="s">
        <v>16</v>
      </c>
      <c r="C12" t="s">
        <v>17</v>
      </c>
      <c r="D12" t="s">
        <v>18</v>
      </c>
      <c r="E12" t="s">
        <v>10</v>
      </c>
      <c r="F12" t="s">
        <v>18</v>
      </c>
      <c r="G12">
        <v>1</v>
      </c>
      <c r="H12">
        <v>1.5056771000090501</v>
      </c>
      <c r="J12" t="s">
        <v>96</v>
      </c>
      <c r="K12">
        <f>AVERAGE(H81:H118)</f>
        <v>1.166176647372162</v>
      </c>
    </row>
    <row r="13" spans="1:11" x14ac:dyDescent="0.3">
      <c r="A13">
        <v>10</v>
      </c>
      <c r="B13" t="s">
        <v>14</v>
      </c>
      <c r="C13" t="s">
        <v>8</v>
      </c>
      <c r="D13" t="s">
        <v>9</v>
      </c>
      <c r="E13" t="s">
        <v>10</v>
      </c>
      <c r="F13" t="s">
        <v>9</v>
      </c>
      <c r="G13">
        <v>1</v>
      </c>
      <c r="H13">
        <v>1.306191199983</v>
      </c>
    </row>
    <row r="14" spans="1:11" x14ac:dyDescent="0.3">
      <c r="A14">
        <v>11</v>
      </c>
      <c r="B14" t="s">
        <v>19</v>
      </c>
      <c r="C14" t="s">
        <v>12</v>
      </c>
      <c r="D14" t="s">
        <v>13</v>
      </c>
      <c r="E14" t="s">
        <v>10</v>
      </c>
      <c r="F14" t="s">
        <v>13</v>
      </c>
      <c r="G14">
        <v>1</v>
      </c>
      <c r="H14">
        <v>2.7728077000065201</v>
      </c>
    </row>
    <row r="15" spans="1:11" x14ac:dyDescent="0.3">
      <c r="A15">
        <v>12</v>
      </c>
      <c r="B15" t="s">
        <v>53</v>
      </c>
      <c r="C15" t="s">
        <v>12</v>
      </c>
      <c r="D15" t="s">
        <v>13</v>
      </c>
      <c r="E15" t="s">
        <v>10</v>
      </c>
      <c r="F15" t="s">
        <v>13</v>
      </c>
      <c r="G15">
        <v>1</v>
      </c>
      <c r="H15">
        <v>1.05548949999501</v>
      </c>
    </row>
    <row r="16" spans="1:11" x14ac:dyDescent="0.3">
      <c r="A16">
        <v>13</v>
      </c>
      <c r="B16" t="s">
        <v>48</v>
      </c>
      <c r="C16" t="s">
        <v>12</v>
      </c>
      <c r="D16" t="s">
        <v>13</v>
      </c>
      <c r="E16" t="s">
        <v>10</v>
      </c>
      <c r="F16" t="s">
        <v>13</v>
      </c>
      <c r="G16">
        <v>1</v>
      </c>
      <c r="H16">
        <v>0.996341999998549</v>
      </c>
      <c r="J16" t="s">
        <v>98</v>
      </c>
      <c r="K16">
        <f>K11-K10</f>
        <v>-0.84063381842095253</v>
      </c>
    </row>
    <row r="17" spans="1:14" x14ac:dyDescent="0.3">
      <c r="A17">
        <v>14</v>
      </c>
      <c r="B17" t="s">
        <v>29</v>
      </c>
      <c r="C17" t="s">
        <v>17</v>
      </c>
      <c r="D17" t="s">
        <v>18</v>
      </c>
      <c r="E17" t="s">
        <v>10</v>
      </c>
      <c r="F17" t="s">
        <v>18</v>
      </c>
      <c r="G17">
        <v>1</v>
      </c>
      <c r="H17">
        <v>1.04907579999417</v>
      </c>
    </row>
    <row r="18" spans="1:14" x14ac:dyDescent="0.3">
      <c r="A18">
        <v>15</v>
      </c>
      <c r="B18" t="s">
        <v>23</v>
      </c>
      <c r="C18" t="s">
        <v>17</v>
      </c>
      <c r="D18" t="s">
        <v>18</v>
      </c>
      <c r="E18" t="s">
        <v>10</v>
      </c>
      <c r="F18" t="s">
        <v>18</v>
      </c>
      <c r="G18">
        <v>1</v>
      </c>
      <c r="H18">
        <v>1.06471240002429</v>
      </c>
      <c r="J18" t="s">
        <v>99</v>
      </c>
      <c r="K18">
        <f>K11-K12</f>
        <v>0.26031017631191089</v>
      </c>
    </row>
    <row r="19" spans="1:14" x14ac:dyDescent="0.3">
      <c r="A19">
        <v>16</v>
      </c>
      <c r="B19" t="s">
        <v>46</v>
      </c>
      <c r="C19" t="s">
        <v>21</v>
      </c>
      <c r="D19" t="s">
        <v>22</v>
      </c>
      <c r="E19" t="s">
        <v>10</v>
      </c>
      <c r="F19" t="s">
        <v>22</v>
      </c>
      <c r="G19">
        <v>1</v>
      </c>
      <c r="H19">
        <v>2.76446859998395</v>
      </c>
    </row>
    <row r="20" spans="1:14" x14ac:dyDescent="0.3">
      <c r="A20">
        <v>17</v>
      </c>
      <c r="B20" t="s">
        <v>26</v>
      </c>
      <c r="C20" t="s">
        <v>12</v>
      </c>
      <c r="D20" t="s">
        <v>13</v>
      </c>
      <c r="E20" t="s">
        <v>10</v>
      </c>
      <c r="F20" t="s">
        <v>13</v>
      </c>
      <c r="G20">
        <v>1</v>
      </c>
      <c r="H20">
        <v>1.62361079998663</v>
      </c>
      <c r="J20" t="s">
        <v>103</v>
      </c>
      <c r="K20" t="s">
        <v>104</v>
      </c>
      <c r="L20" t="s">
        <v>105</v>
      </c>
      <c r="M20" t="s">
        <v>106</v>
      </c>
      <c r="N20" t="s">
        <v>107</v>
      </c>
    </row>
    <row r="21" spans="1:14" x14ac:dyDescent="0.3">
      <c r="A21">
        <v>18</v>
      </c>
      <c r="B21" t="s">
        <v>24</v>
      </c>
      <c r="C21" t="s">
        <v>21</v>
      </c>
      <c r="D21" t="s">
        <v>22</v>
      </c>
      <c r="E21" t="s">
        <v>10</v>
      </c>
      <c r="F21" t="s">
        <v>22</v>
      </c>
      <c r="G21">
        <v>1</v>
      </c>
      <c r="H21">
        <v>1.17848450000747</v>
      </c>
    </row>
    <row r="22" spans="1:14" x14ac:dyDescent="0.3">
      <c r="A22">
        <v>19</v>
      </c>
      <c r="B22" t="s">
        <v>11</v>
      </c>
      <c r="C22" t="s">
        <v>12</v>
      </c>
      <c r="D22" t="s">
        <v>13</v>
      </c>
      <c r="E22" t="s">
        <v>10</v>
      </c>
      <c r="F22" t="s">
        <v>13</v>
      </c>
      <c r="G22">
        <v>1</v>
      </c>
      <c r="H22">
        <v>2.0650011999823601</v>
      </c>
      <c r="J22" t="s">
        <v>94</v>
      </c>
      <c r="K22">
        <v>38</v>
      </c>
      <c r="L22">
        <f>K22-M22</f>
        <v>36</v>
      </c>
      <c r="M22">
        <v>2</v>
      </c>
      <c r="N22">
        <f>L22/K22*100</f>
        <v>94.73684210526315</v>
      </c>
    </row>
    <row r="23" spans="1:14" x14ac:dyDescent="0.3">
      <c r="A23">
        <v>20</v>
      </c>
      <c r="B23" t="s">
        <v>7</v>
      </c>
      <c r="C23" t="s">
        <v>8</v>
      </c>
      <c r="D23" t="s">
        <v>9</v>
      </c>
      <c r="E23" t="s">
        <v>10</v>
      </c>
      <c r="F23" t="s">
        <v>9</v>
      </c>
      <c r="G23">
        <v>1</v>
      </c>
      <c r="H23">
        <v>2.7707030999881601</v>
      </c>
      <c r="J23" t="s">
        <v>95</v>
      </c>
      <c r="K23">
        <v>38</v>
      </c>
      <c r="L23">
        <f>K23-M23</f>
        <v>36</v>
      </c>
      <c r="M23">
        <v>2</v>
      </c>
      <c r="N23">
        <f>L23/K23*100</f>
        <v>94.73684210526315</v>
      </c>
    </row>
    <row r="24" spans="1:14" x14ac:dyDescent="0.3">
      <c r="A24">
        <v>21</v>
      </c>
      <c r="B24" t="s">
        <v>38</v>
      </c>
      <c r="C24" t="s">
        <v>21</v>
      </c>
      <c r="D24" t="s">
        <v>22</v>
      </c>
      <c r="E24" t="s">
        <v>10</v>
      </c>
      <c r="F24" t="s">
        <v>22</v>
      </c>
      <c r="G24">
        <v>1</v>
      </c>
      <c r="H24">
        <v>1.08150259999092</v>
      </c>
      <c r="J24" t="s">
        <v>96</v>
      </c>
      <c r="K24">
        <v>38</v>
      </c>
      <c r="L24">
        <v>38</v>
      </c>
      <c r="M24">
        <v>0</v>
      </c>
      <c r="N24">
        <f>L24/K24*100</f>
        <v>100</v>
      </c>
    </row>
    <row r="25" spans="1:14" x14ac:dyDescent="0.3">
      <c r="A25">
        <v>22</v>
      </c>
      <c r="B25" t="s">
        <v>31</v>
      </c>
      <c r="C25" t="s">
        <v>8</v>
      </c>
      <c r="D25" t="s">
        <v>9</v>
      </c>
      <c r="E25" t="s">
        <v>10</v>
      </c>
      <c r="F25" t="s">
        <v>9</v>
      </c>
      <c r="G25">
        <v>1</v>
      </c>
      <c r="H25">
        <v>2.4066087999963202</v>
      </c>
    </row>
    <row r="26" spans="1:14" x14ac:dyDescent="0.3">
      <c r="A26">
        <v>23</v>
      </c>
      <c r="B26" t="s">
        <v>42</v>
      </c>
      <c r="C26" t="s">
        <v>12</v>
      </c>
      <c r="D26" t="s">
        <v>13</v>
      </c>
      <c r="E26" t="s">
        <v>10</v>
      </c>
      <c r="F26" t="s">
        <v>13</v>
      </c>
      <c r="G26">
        <v>1</v>
      </c>
      <c r="H26">
        <v>1.3317351000150599</v>
      </c>
    </row>
    <row r="27" spans="1:14" x14ac:dyDescent="0.3">
      <c r="A27">
        <v>24</v>
      </c>
      <c r="B27" t="s">
        <v>25</v>
      </c>
      <c r="C27" t="s">
        <v>21</v>
      </c>
      <c r="D27" t="s">
        <v>22</v>
      </c>
      <c r="E27" t="s">
        <v>10</v>
      </c>
      <c r="F27" t="s">
        <v>22</v>
      </c>
      <c r="G27">
        <v>1</v>
      </c>
      <c r="H27">
        <v>1.38134319998789</v>
      </c>
    </row>
    <row r="28" spans="1:14" x14ac:dyDescent="0.3">
      <c r="A28">
        <v>25</v>
      </c>
      <c r="B28" t="s">
        <v>35</v>
      </c>
      <c r="C28" t="s">
        <v>17</v>
      </c>
      <c r="D28" t="s">
        <v>18</v>
      </c>
      <c r="E28" t="s">
        <v>10</v>
      </c>
      <c r="F28" t="s">
        <v>18</v>
      </c>
      <c r="G28">
        <v>1</v>
      </c>
      <c r="H28">
        <v>1.13352259999373</v>
      </c>
    </row>
    <row r="29" spans="1:14" x14ac:dyDescent="0.3">
      <c r="A29">
        <v>26</v>
      </c>
      <c r="B29" t="s">
        <v>27</v>
      </c>
      <c r="C29" t="s">
        <v>21</v>
      </c>
      <c r="D29" t="s">
        <v>22</v>
      </c>
      <c r="E29" t="s">
        <v>10</v>
      </c>
      <c r="F29" t="s">
        <v>22</v>
      </c>
      <c r="G29">
        <v>1</v>
      </c>
      <c r="H29">
        <v>1.3032708000100599</v>
      </c>
    </row>
    <row r="30" spans="1:14" x14ac:dyDescent="0.3">
      <c r="A30">
        <v>27</v>
      </c>
      <c r="B30" t="s">
        <v>20</v>
      </c>
      <c r="C30" t="s">
        <v>21</v>
      </c>
      <c r="D30" t="s">
        <v>22</v>
      </c>
      <c r="E30" t="s">
        <v>10</v>
      </c>
      <c r="F30" t="s">
        <v>22</v>
      </c>
      <c r="G30">
        <v>1</v>
      </c>
      <c r="H30">
        <v>0.98375910002505396</v>
      </c>
    </row>
    <row r="31" spans="1:14" x14ac:dyDescent="0.3">
      <c r="A31">
        <v>28</v>
      </c>
      <c r="B31" t="s">
        <v>28</v>
      </c>
      <c r="C31" t="s">
        <v>17</v>
      </c>
      <c r="D31" t="s">
        <v>18</v>
      </c>
      <c r="E31" t="s">
        <v>10</v>
      </c>
      <c r="F31" t="s">
        <v>18</v>
      </c>
      <c r="G31">
        <v>1</v>
      </c>
      <c r="H31">
        <v>3.0843686999869502</v>
      </c>
    </row>
    <row r="32" spans="1:14" x14ac:dyDescent="0.3">
      <c r="A32">
        <v>29</v>
      </c>
      <c r="B32" t="s">
        <v>36</v>
      </c>
      <c r="C32" t="s">
        <v>8</v>
      </c>
      <c r="D32" t="s">
        <v>9</v>
      </c>
      <c r="E32" t="s">
        <v>10</v>
      </c>
      <c r="F32" t="s">
        <v>9</v>
      </c>
      <c r="G32">
        <v>1</v>
      </c>
      <c r="H32">
        <v>4.2075058999762396</v>
      </c>
    </row>
    <row r="33" spans="1:8" x14ac:dyDescent="0.3">
      <c r="A33">
        <v>30</v>
      </c>
      <c r="B33" t="s">
        <v>51</v>
      </c>
      <c r="C33" t="s">
        <v>8</v>
      </c>
      <c r="D33" t="s">
        <v>9</v>
      </c>
      <c r="E33" t="s">
        <v>10</v>
      </c>
      <c r="F33" t="s">
        <v>9</v>
      </c>
      <c r="G33">
        <v>1</v>
      </c>
      <c r="H33">
        <v>4.0255194999917796</v>
      </c>
    </row>
    <row r="34" spans="1:8" x14ac:dyDescent="0.3">
      <c r="A34">
        <v>31</v>
      </c>
      <c r="B34" t="s">
        <v>30</v>
      </c>
      <c r="C34" t="s">
        <v>8</v>
      </c>
      <c r="D34" t="s">
        <v>9</v>
      </c>
      <c r="E34" t="s">
        <v>10</v>
      </c>
      <c r="F34" t="s">
        <v>9</v>
      </c>
      <c r="G34">
        <v>1</v>
      </c>
      <c r="H34">
        <v>2.5382379000075099</v>
      </c>
    </row>
    <row r="35" spans="1:8" x14ac:dyDescent="0.3">
      <c r="A35">
        <v>32</v>
      </c>
      <c r="B35" t="s">
        <v>32</v>
      </c>
      <c r="C35" t="s">
        <v>17</v>
      </c>
      <c r="D35" t="s">
        <v>18</v>
      </c>
      <c r="E35" t="s">
        <v>10</v>
      </c>
      <c r="F35" t="s">
        <v>18</v>
      </c>
      <c r="G35">
        <v>1</v>
      </c>
      <c r="H35">
        <v>3.8143199000041901</v>
      </c>
    </row>
    <row r="36" spans="1:8" x14ac:dyDescent="0.3">
      <c r="A36">
        <v>33</v>
      </c>
      <c r="B36" t="s">
        <v>40</v>
      </c>
      <c r="C36" t="s">
        <v>8</v>
      </c>
      <c r="D36" t="s">
        <v>9</v>
      </c>
      <c r="E36" t="s">
        <v>10</v>
      </c>
      <c r="F36" t="s">
        <v>9</v>
      </c>
      <c r="G36">
        <v>1</v>
      </c>
      <c r="H36">
        <v>10.2195648000051</v>
      </c>
    </row>
    <row r="37" spans="1:8" x14ac:dyDescent="0.3">
      <c r="A37">
        <v>34</v>
      </c>
      <c r="B37" t="s">
        <v>50</v>
      </c>
      <c r="C37" t="s">
        <v>21</v>
      </c>
      <c r="D37" t="s">
        <v>22</v>
      </c>
      <c r="E37" t="s">
        <v>10</v>
      </c>
      <c r="F37" t="s">
        <v>22</v>
      </c>
      <c r="G37">
        <v>1</v>
      </c>
      <c r="H37">
        <v>6.75009459999273</v>
      </c>
    </row>
    <row r="38" spans="1:8" x14ac:dyDescent="0.3">
      <c r="A38">
        <v>35</v>
      </c>
      <c r="B38" t="s">
        <v>47</v>
      </c>
      <c r="C38" t="s">
        <v>8</v>
      </c>
      <c r="D38" t="s">
        <v>9</v>
      </c>
      <c r="E38" t="s">
        <v>10</v>
      </c>
      <c r="F38" t="s">
        <v>9</v>
      </c>
      <c r="G38">
        <v>1</v>
      </c>
      <c r="H38">
        <v>1.01421610001125</v>
      </c>
    </row>
    <row r="39" spans="1:8" x14ac:dyDescent="0.3">
      <c r="A39">
        <v>36</v>
      </c>
      <c r="B39" t="s">
        <v>44</v>
      </c>
      <c r="C39" t="s">
        <v>12</v>
      </c>
      <c r="D39" t="s">
        <v>13</v>
      </c>
      <c r="E39" t="s">
        <v>10</v>
      </c>
      <c r="F39" t="s">
        <v>13</v>
      </c>
      <c r="G39">
        <v>1</v>
      </c>
      <c r="H39">
        <v>1.21964069997193</v>
      </c>
    </row>
    <row r="40" spans="1:8" x14ac:dyDescent="0.3">
      <c r="A40">
        <v>37</v>
      </c>
      <c r="B40" t="s">
        <v>43</v>
      </c>
      <c r="C40" t="s">
        <v>21</v>
      </c>
      <c r="D40" t="s">
        <v>22</v>
      </c>
      <c r="E40" t="s">
        <v>10</v>
      </c>
      <c r="F40" t="s">
        <v>22</v>
      </c>
      <c r="G40">
        <v>1</v>
      </c>
      <c r="H40">
        <v>1.31371170000056</v>
      </c>
    </row>
    <row r="42" spans="1:8" x14ac:dyDescent="0.3">
      <c r="A42">
        <v>0</v>
      </c>
      <c r="B42" t="s">
        <v>91</v>
      </c>
      <c r="C42" t="s">
        <v>12</v>
      </c>
      <c r="D42" t="s">
        <v>13</v>
      </c>
      <c r="F42" t="s">
        <v>13</v>
      </c>
      <c r="G42">
        <v>1</v>
      </c>
      <c r="H42">
        <v>3.06776859998353</v>
      </c>
    </row>
    <row r="43" spans="1:8" x14ac:dyDescent="0.3">
      <c r="A43">
        <v>1</v>
      </c>
      <c r="B43" t="s">
        <v>73</v>
      </c>
      <c r="C43" t="s">
        <v>21</v>
      </c>
      <c r="D43" t="s">
        <v>22</v>
      </c>
      <c r="F43" t="s">
        <v>22</v>
      </c>
      <c r="G43">
        <v>1</v>
      </c>
      <c r="H43">
        <v>1.0278019999968799</v>
      </c>
    </row>
    <row r="44" spans="1:8" x14ac:dyDescent="0.3">
      <c r="A44">
        <v>2</v>
      </c>
      <c r="B44" t="s">
        <v>77</v>
      </c>
      <c r="C44" t="s">
        <v>17</v>
      </c>
      <c r="D44" t="s">
        <v>18</v>
      </c>
      <c r="F44" t="s">
        <v>18</v>
      </c>
      <c r="G44">
        <v>1</v>
      </c>
      <c r="H44">
        <v>1.1689820000028699</v>
      </c>
    </row>
    <row r="45" spans="1:8" x14ac:dyDescent="0.3">
      <c r="A45">
        <v>3</v>
      </c>
      <c r="B45" t="s">
        <v>55</v>
      </c>
      <c r="C45" t="s">
        <v>12</v>
      </c>
      <c r="D45" t="s">
        <v>13</v>
      </c>
      <c r="F45" t="s">
        <v>13</v>
      </c>
      <c r="G45">
        <v>1</v>
      </c>
      <c r="H45">
        <v>0.86991870001656901</v>
      </c>
    </row>
    <row r="46" spans="1:8" x14ac:dyDescent="0.3">
      <c r="A46">
        <v>4</v>
      </c>
      <c r="B46" t="s">
        <v>60</v>
      </c>
      <c r="C46" t="s">
        <v>21</v>
      </c>
      <c r="D46" t="s">
        <v>22</v>
      </c>
      <c r="F46" t="s">
        <v>22</v>
      </c>
      <c r="G46">
        <v>1</v>
      </c>
      <c r="H46">
        <v>1.4940172000206</v>
      </c>
    </row>
    <row r="47" spans="1:8" x14ac:dyDescent="0.3">
      <c r="A47">
        <v>5</v>
      </c>
      <c r="B47" t="s">
        <v>64</v>
      </c>
      <c r="C47" t="s">
        <v>12</v>
      </c>
      <c r="D47" t="s">
        <v>13</v>
      </c>
      <c r="F47" t="s">
        <v>13</v>
      </c>
      <c r="G47">
        <v>1</v>
      </c>
      <c r="H47">
        <v>0.94930189999285997</v>
      </c>
    </row>
    <row r="48" spans="1:8" x14ac:dyDescent="0.3">
      <c r="A48">
        <v>6</v>
      </c>
      <c r="B48" t="s">
        <v>61</v>
      </c>
      <c r="C48" t="s">
        <v>21</v>
      </c>
      <c r="D48" t="s">
        <v>22</v>
      </c>
      <c r="F48" t="s">
        <v>22</v>
      </c>
      <c r="G48">
        <v>1</v>
      </c>
      <c r="H48">
        <v>1.0113997000153101</v>
      </c>
    </row>
    <row r="49" spans="1:8" x14ac:dyDescent="0.3">
      <c r="A49">
        <v>7</v>
      </c>
      <c r="B49" t="s">
        <v>66</v>
      </c>
      <c r="C49" t="s">
        <v>8</v>
      </c>
      <c r="D49" t="s">
        <v>9</v>
      </c>
      <c r="F49" t="s">
        <v>13</v>
      </c>
      <c r="G49" s="1">
        <v>0</v>
      </c>
      <c r="H49">
        <v>1.06842189998133</v>
      </c>
    </row>
    <row r="50" spans="1:8" x14ac:dyDescent="0.3">
      <c r="A50">
        <v>8</v>
      </c>
      <c r="B50" t="s">
        <v>89</v>
      </c>
      <c r="C50" t="s">
        <v>8</v>
      </c>
      <c r="D50" t="s">
        <v>9</v>
      </c>
      <c r="F50" t="s">
        <v>13</v>
      </c>
      <c r="G50" s="1">
        <v>0</v>
      </c>
      <c r="H50">
        <v>3.0604385000187899</v>
      </c>
    </row>
    <row r="51" spans="1:8" x14ac:dyDescent="0.3">
      <c r="A51">
        <v>9</v>
      </c>
      <c r="B51" t="s">
        <v>56</v>
      </c>
      <c r="C51" t="s">
        <v>12</v>
      </c>
      <c r="D51" t="s">
        <v>13</v>
      </c>
      <c r="F51" t="s">
        <v>13</v>
      </c>
      <c r="G51">
        <v>1</v>
      </c>
      <c r="H51">
        <v>1.1923299999907599</v>
      </c>
    </row>
    <row r="52" spans="1:8" x14ac:dyDescent="0.3">
      <c r="A52">
        <v>10</v>
      </c>
      <c r="B52" t="s">
        <v>75</v>
      </c>
      <c r="C52" t="s">
        <v>17</v>
      </c>
      <c r="D52" t="s">
        <v>18</v>
      </c>
      <c r="F52" t="s">
        <v>18</v>
      </c>
      <c r="G52">
        <v>1</v>
      </c>
      <c r="H52">
        <v>1.0170917000214099</v>
      </c>
    </row>
    <row r="53" spans="1:8" x14ac:dyDescent="0.3">
      <c r="A53">
        <v>11</v>
      </c>
      <c r="B53" t="s">
        <v>74</v>
      </c>
      <c r="C53" t="s">
        <v>17</v>
      </c>
      <c r="D53" t="s">
        <v>18</v>
      </c>
      <c r="F53" t="s">
        <v>18</v>
      </c>
      <c r="G53">
        <v>1</v>
      </c>
      <c r="H53">
        <v>2.9921565000258799</v>
      </c>
    </row>
    <row r="54" spans="1:8" x14ac:dyDescent="0.3">
      <c r="A54">
        <v>12</v>
      </c>
      <c r="B54" t="s">
        <v>85</v>
      </c>
      <c r="C54" t="s">
        <v>21</v>
      </c>
      <c r="D54" t="s">
        <v>22</v>
      </c>
      <c r="F54" t="s">
        <v>22</v>
      </c>
      <c r="G54">
        <v>1</v>
      </c>
      <c r="H54">
        <v>0.96806549999746405</v>
      </c>
    </row>
    <row r="55" spans="1:8" x14ac:dyDescent="0.3">
      <c r="A55">
        <v>13</v>
      </c>
      <c r="B55" t="s">
        <v>83</v>
      </c>
      <c r="C55" t="s">
        <v>17</v>
      </c>
      <c r="D55" t="s">
        <v>18</v>
      </c>
      <c r="F55" t="s">
        <v>18</v>
      </c>
      <c r="G55">
        <v>1</v>
      </c>
      <c r="H55">
        <v>1.11347939999541</v>
      </c>
    </row>
    <row r="56" spans="1:8" x14ac:dyDescent="0.3">
      <c r="A56">
        <v>14</v>
      </c>
      <c r="B56" t="s">
        <v>90</v>
      </c>
      <c r="C56" t="s">
        <v>17</v>
      </c>
      <c r="D56" t="s">
        <v>18</v>
      </c>
      <c r="F56" t="s">
        <v>18</v>
      </c>
      <c r="G56">
        <v>1</v>
      </c>
      <c r="H56">
        <v>0.83363580002333004</v>
      </c>
    </row>
    <row r="57" spans="1:8" x14ac:dyDescent="0.3">
      <c r="A57">
        <v>15</v>
      </c>
      <c r="B57" t="s">
        <v>57</v>
      </c>
      <c r="C57" t="s">
        <v>8</v>
      </c>
      <c r="D57" t="s">
        <v>9</v>
      </c>
      <c r="F57" t="s">
        <v>9</v>
      </c>
      <c r="G57">
        <v>1</v>
      </c>
      <c r="H57">
        <v>2.0510283999901699</v>
      </c>
    </row>
    <row r="58" spans="1:8" x14ac:dyDescent="0.3">
      <c r="A58">
        <v>16</v>
      </c>
      <c r="B58" t="s">
        <v>80</v>
      </c>
      <c r="C58" t="s">
        <v>17</v>
      </c>
      <c r="D58" t="s">
        <v>18</v>
      </c>
      <c r="F58" t="s">
        <v>18</v>
      </c>
      <c r="G58">
        <v>1</v>
      </c>
      <c r="H58">
        <v>1.0318966000049801</v>
      </c>
    </row>
    <row r="59" spans="1:8" x14ac:dyDescent="0.3">
      <c r="A59">
        <v>17</v>
      </c>
      <c r="B59" t="s">
        <v>88</v>
      </c>
      <c r="C59" t="s">
        <v>21</v>
      </c>
      <c r="D59" t="s">
        <v>22</v>
      </c>
      <c r="F59" t="s">
        <v>22</v>
      </c>
      <c r="G59">
        <v>1</v>
      </c>
      <c r="H59">
        <v>1.4643765999935501</v>
      </c>
    </row>
    <row r="60" spans="1:8" x14ac:dyDescent="0.3">
      <c r="A60">
        <v>18</v>
      </c>
      <c r="B60" t="s">
        <v>62</v>
      </c>
      <c r="C60" t="s">
        <v>21</v>
      </c>
      <c r="D60" t="s">
        <v>22</v>
      </c>
      <c r="F60" t="s">
        <v>22</v>
      </c>
      <c r="G60">
        <v>1</v>
      </c>
      <c r="H60">
        <v>1.8400517000118199</v>
      </c>
    </row>
    <row r="61" spans="1:8" x14ac:dyDescent="0.3">
      <c r="A61">
        <v>19</v>
      </c>
      <c r="B61" t="s">
        <v>71</v>
      </c>
      <c r="C61" t="s">
        <v>12</v>
      </c>
      <c r="D61" t="s">
        <v>13</v>
      </c>
      <c r="F61" t="s">
        <v>13</v>
      </c>
      <c r="G61">
        <v>1</v>
      </c>
      <c r="H61">
        <v>2.1288340999744801</v>
      </c>
    </row>
    <row r="62" spans="1:8" x14ac:dyDescent="0.3">
      <c r="A62">
        <v>20</v>
      </c>
      <c r="B62" t="s">
        <v>67</v>
      </c>
      <c r="C62" t="s">
        <v>17</v>
      </c>
      <c r="D62" t="s">
        <v>18</v>
      </c>
      <c r="F62" t="s">
        <v>18</v>
      </c>
      <c r="G62">
        <v>1</v>
      </c>
      <c r="H62">
        <v>1.30800379998981</v>
      </c>
    </row>
    <row r="63" spans="1:8" x14ac:dyDescent="0.3">
      <c r="A63">
        <v>21</v>
      </c>
      <c r="B63" t="s">
        <v>68</v>
      </c>
      <c r="C63" t="s">
        <v>12</v>
      </c>
      <c r="D63" t="s">
        <v>13</v>
      </c>
      <c r="F63" t="s">
        <v>13</v>
      </c>
      <c r="G63">
        <v>1</v>
      </c>
      <c r="H63">
        <v>1.77889800001867</v>
      </c>
    </row>
    <row r="64" spans="1:8" x14ac:dyDescent="0.3">
      <c r="A64">
        <v>22</v>
      </c>
      <c r="B64" t="s">
        <v>87</v>
      </c>
      <c r="C64" t="s">
        <v>12</v>
      </c>
      <c r="D64" t="s">
        <v>13</v>
      </c>
      <c r="F64" t="s">
        <v>13</v>
      </c>
      <c r="G64">
        <v>1</v>
      </c>
      <c r="H64">
        <v>1.2537068999954499</v>
      </c>
    </row>
    <row r="65" spans="1:8" x14ac:dyDescent="0.3">
      <c r="A65">
        <v>23</v>
      </c>
      <c r="B65" t="s">
        <v>82</v>
      </c>
      <c r="C65" t="s">
        <v>12</v>
      </c>
      <c r="D65" t="s">
        <v>13</v>
      </c>
      <c r="F65" t="s">
        <v>13</v>
      </c>
      <c r="G65">
        <v>1</v>
      </c>
      <c r="H65">
        <v>0.92853110001306005</v>
      </c>
    </row>
    <row r="66" spans="1:8" x14ac:dyDescent="0.3">
      <c r="A66">
        <v>24</v>
      </c>
      <c r="B66" t="s">
        <v>72</v>
      </c>
      <c r="C66" t="s">
        <v>17</v>
      </c>
      <c r="D66" t="s">
        <v>18</v>
      </c>
      <c r="F66" t="s">
        <v>18</v>
      </c>
      <c r="G66">
        <v>1</v>
      </c>
      <c r="H66">
        <v>1.4307404999854001</v>
      </c>
    </row>
    <row r="67" spans="1:8" x14ac:dyDescent="0.3">
      <c r="A67">
        <v>25</v>
      </c>
      <c r="B67" t="s">
        <v>54</v>
      </c>
      <c r="C67" t="s">
        <v>8</v>
      </c>
      <c r="D67" t="s">
        <v>9</v>
      </c>
      <c r="F67" t="s">
        <v>9</v>
      </c>
      <c r="G67">
        <v>1</v>
      </c>
      <c r="H67">
        <v>1.59119209999335</v>
      </c>
    </row>
    <row r="68" spans="1:8" x14ac:dyDescent="0.3">
      <c r="A68">
        <v>26</v>
      </c>
      <c r="B68" t="s">
        <v>86</v>
      </c>
      <c r="C68" t="s">
        <v>8</v>
      </c>
      <c r="D68" t="s">
        <v>9</v>
      </c>
      <c r="F68" t="s">
        <v>9</v>
      </c>
      <c r="G68">
        <v>1</v>
      </c>
      <c r="H68">
        <v>0.98826089999056399</v>
      </c>
    </row>
    <row r="69" spans="1:8" x14ac:dyDescent="0.3">
      <c r="A69">
        <v>27</v>
      </c>
      <c r="B69" t="s">
        <v>58</v>
      </c>
      <c r="C69" t="s">
        <v>8</v>
      </c>
      <c r="D69" t="s">
        <v>9</v>
      </c>
      <c r="F69" t="s">
        <v>9</v>
      </c>
      <c r="G69">
        <v>1</v>
      </c>
      <c r="H69">
        <v>1.11327349999919</v>
      </c>
    </row>
    <row r="70" spans="1:8" x14ac:dyDescent="0.3">
      <c r="A70">
        <v>28</v>
      </c>
      <c r="B70" t="s">
        <v>79</v>
      </c>
      <c r="C70" t="s">
        <v>8</v>
      </c>
      <c r="D70" t="s">
        <v>9</v>
      </c>
      <c r="F70" t="s">
        <v>9</v>
      </c>
      <c r="G70">
        <v>1</v>
      </c>
      <c r="H70">
        <v>0.91332170000532598</v>
      </c>
    </row>
    <row r="71" spans="1:8" x14ac:dyDescent="0.3">
      <c r="A71">
        <v>29</v>
      </c>
      <c r="B71" t="s">
        <v>84</v>
      </c>
      <c r="C71" t="s">
        <v>21</v>
      </c>
      <c r="D71" t="s">
        <v>22</v>
      </c>
      <c r="F71" t="s">
        <v>22</v>
      </c>
      <c r="G71">
        <v>1</v>
      </c>
      <c r="H71">
        <v>1.24676509998971</v>
      </c>
    </row>
    <row r="72" spans="1:8" x14ac:dyDescent="0.3">
      <c r="A72">
        <v>30</v>
      </c>
      <c r="B72" t="s">
        <v>81</v>
      </c>
      <c r="C72" t="s">
        <v>21</v>
      </c>
      <c r="D72" t="s">
        <v>22</v>
      </c>
      <c r="F72" t="s">
        <v>22</v>
      </c>
      <c r="G72">
        <v>1</v>
      </c>
      <c r="H72">
        <v>0.95074200001545195</v>
      </c>
    </row>
    <row r="73" spans="1:8" x14ac:dyDescent="0.3">
      <c r="A73">
        <v>31</v>
      </c>
      <c r="B73" t="s">
        <v>63</v>
      </c>
      <c r="C73" t="s">
        <v>21</v>
      </c>
      <c r="D73" t="s">
        <v>22</v>
      </c>
      <c r="F73" t="s">
        <v>22</v>
      </c>
      <c r="G73">
        <v>1</v>
      </c>
      <c r="H73">
        <v>0.935376299981726</v>
      </c>
    </row>
    <row r="74" spans="1:8" x14ac:dyDescent="0.3">
      <c r="A74">
        <v>32</v>
      </c>
      <c r="B74" t="s">
        <v>69</v>
      </c>
      <c r="C74" t="s">
        <v>8</v>
      </c>
      <c r="D74" t="s">
        <v>9</v>
      </c>
      <c r="F74" t="s">
        <v>9</v>
      </c>
      <c r="G74">
        <v>1</v>
      </c>
      <c r="H74">
        <v>1.7561936000129199</v>
      </c>
    </row>
    <row r="75" spans="1:8" x14ac:dyDescent="0.3">
      <c r="A75">
        <v>33</v>
      </c>
      <c r="B75" t="s">
        <v>70</v>
      </c>
      <c r="C75" t="s">
        <v>8</v>
      </c>
      <c r="D75" t="s">
        <v>9</v>
      </c>
      <c r="F75" t="s">
        <v>9</v>
      </c>
      <c r="G75">
        <v>1</v>
      </c>
      <c r="H75">
        <v>1.05091969997738</v>
      </c>
    </row>
    <row r="76" spans="1:8" x14ac:dyDescent="0.3">
      <c r="A76">
        <v>34</v>
      </c>
      <c r="B76" t="s">
        <v>78</v>
      </c>
      <c r="C76" t="s">
        <v>21</v>
      </c>
      <c r="D76" t="s">
        <v>22</v>
      </c>
      <c r="F76" t="s">
        <v>22</v>
      </c>
      <c r="G76">
        <v>1</v>
      </c>
      <c r="H76">
        <v>1.4325409999873899</v>
      </c>
    </row>
    <row r="77" spans="1:8" x14ac:dyDescent="0.3">
      <c r="A77">
        <v>35</v>
      </c>
      <c r="B77" t="s">
        <v>65</v>
      </c>
      <c r="C77" t="s">
        <v>17</v>
      </c>
      <c r="D77" t="s">
        <v>18</v>
      </c>
      <c r="F77" t="s">
        <v>18</v>
      </c>
      <c r="G77">
        <v>1</v>
      </c>
      <c r="H77">
        <v>1.54772529998444</v>
      </c>
    </row>
    <row r="78" spans="1:8" x14ac:dyDescent="0.3">
      <c r="A78">
        <v>36</v>
      </c>
      <c r="B78" t="s">
        <v>76</v>
      </c>
      <c r="C78" t="s">
        <v>8</v>
      </c>
      <c r="D78" t="s">
        <v>9</v>
      </c>
      <c r="F78" t="s">
        <v>9</v>
      </c>
      <c r="G78">
        <v>1</v>
      </c>
      <c r="H78">
        <v>1.65139670000644</v>
      </c>
    </row>
    <row r="79" spans="1:8" x14ac:dyDescent="0.3">
      <c r="A79">
        <v>37</v>
      </c>
      <c r="B79" t="s">
        <v>59</v>
      </c>
      <c r="C79" t="s">
        <v>12</v>
      </c>
      <c r="D79" t="s">
        <v>13</v>
      </c>
      <c r="F79" t="s">
        <v>13</v>
      </c>
      <c r="G79">
        <v>1</v>
      </c>
      <c r="H79">
        <v>1.9779142999905099</v>
      </c>
    </row>
    <row r="81" spans="1:8" x14ac:dyDescent="0.3">
      <c r="A81">
        <v>0</v>
      </c>
      <c r="B81" t="s">
        <v>33</v>
      </c>
      <c r="C81" t="s">
        <v>8</v>
      </c>
      <c r="D81" t="s">
        <v>9</v>
      </c>
      <c r="F81" t="s">
        <v>9</v>
      </c>
      <c r="G81">
        <v>1</v>
      </c>
      <c r="H81">
        <v>1.38498669999535</v>
      </c>
    </row>
    <row r="82" spans="1:8" x14ac:dyDescent="0.3">
      <c r="A82">
        <v>1</v>
      </c>
      <c r="B82" t="s">
        <v>26</v>
      </c>
      <c r="C82" t="s">
        <v>12</v>
      </c>
      <c r="D82" t="s">
        <v>13</v>
      </c>
      <c r="F82" t="s">
        <v>13</v>
      </c>
      <c r="G82">
        <v>1</v>
      </c>
      <c r="H82">
        <v>2.7911980999924699</v>
      </c>
    </row>
    <row r="83" spans="1:8" x14ac:dyDescent="0.3">
      <c r="A83">
        <v>2</v>
      </c>
      <c r="B83" t="s">
        <v>37</v>
      </c>
      <c r="C83" t="s">
        <v>8</v>
      </c>
      <c r="D83" t="s">
        <v>9</v>
      </c>
      <c r="F83" t="s">
        <v>9</v>
      </c>
      <c r="G83">
        <v>1</v>
      </c>
      <c r="H83">
        <v>0.94917740000528195</v>
      </c>
    </row>
    <row r="84" spans="1:8" x14ac:dyDescent="0.3">
      <c r="A84">
        <v>3</v>
      </c>
      <c r="B84" t="s">
        <v>23</v>
      </c>
      <c r="C84" t="s">
        <v>17</v>
      </c>
      <c r="D84" t="s">
        <v>18</v>
      </c>
      <c r="F84" t="s">
        <v>18</v>
      </c>
      <c r="G84">
        <v>1</v>
      </c>
      <c r="H84">
        <v>1.07555870001669</v>
      </c>
    </row>
    <row r="85" spans="1:8" x14ac:dyDescent="0.3">
      <c r="A85">
        <v>4</v>
      </c>
      <c r="B85" t="s">
        <v>25</v>
      </c>
      <c r="C85" t="s">
        <v>21</v>
      </c>
      <c r="D85" t="s">
        <v>22</v>
      </c>
      <c r="F85" t="s">
        <v>22</v>
      </c>
      <c r="G85">
        <v>1</v>
      </c>
      <c r="H85">
        <v>0.89384490001248196</v>
      </c>
    </row>
    <row r="86" spans="1:8" x14ac:dyDescent="0.3">
      <c r="A86">
        <v>5</v>
      </c>
      <c r="B86" t="s">
        <v>44</v>
      </c>
      <c r="C86" t="s">
        <v>12</v>
      </c>
      <c r="D86" t="s">
        <v>13</v>
      </c>
      <c r="F86" t="s">
        <v>13</v>
      </c>
      <c r="G86">
        <v>1</v>
      </c>
      <c r="H86">
        <v>0.969848199980333</v>
      </c>
    </row>
    <row r="87" spans="1:8" x14ac:dyDescent="0.3">
      <c r="A87">
        <v>6</v>
      </c>
      <c r="B87" t="s">
        <v>92</v>
      </c>
      <c r="C87" t="s">
        <v>17</v>
      </c>
      <c r="D87" t="s">
        <v>18</v>
      </c>
      <c r="F87" t="s">
        <v>18</v>
      </c>
      <c r="G87">
        <v>1</v>
      </c>
      <c r="H87">
        <v>0.98813459998927999</v>
      </c>
    </row>
    <row r="88" spans="1:8" x14ac:dyDescent="0.3">
      <c r="A88">
        <v>7</v>
      </c>
      <c r="B88" t="s">
        <v>53</v>
      </c>
      <c r="C88" t="s">
        <v>12</v>
      </c>
      <c r="D88" t="s">
        <v>13</v>
      </c>
      <c r="F88" t="s">
        <v>13</v>
      </c>
      <c r="G88">
        <v>1</v>
      </c>
      <c r="H88">
        <v>0.82590739999432095</v>
      </c>
    </row>
    <row r="89" spans="1:8" x14ac:dyDescent="0.3">
      <c r="A89">
        <v>8</v>
      </c>
      <c r="B89" t="s">
        <v>16</v>
      </c>
      <c r="C89" t="s">
        <v>17</v>
      </c>
      <c r="D89" t="s">
        <v>18</v>
      </c>
      <c r="F89" t="s">
        <v>18</v>
      </c>
      <c r="G89">
        <v>1</v>
      </c>
      <c r="H89">
        <v>1.09762539999792</v>
      </c>
    </row>
    <row r="90" spans="1:8" x14ac:dyDescent="0.3">
      <c r="A90">
        <v>9</v>
      </c>
      <c r="B90" t="s">
        <v>47</v>
      </c>
      <c r="C90" t="s">
        <v>8</v>
      </c>
      <c r="D90" t="s">
        <v>9</v>
      </c>
      <c r="F90" t="s">
        <v>9</v>
      </c>
      <c r="G90">
        <v>1</v>
      </c>
      <c r="H90">
        <v>0.88427350000711102</v>
      </c>
    </row>
    <row r="91" spans="1:8" x14ac:dyDescent="0.3">
      <c r="A91">
        <v>10</v>
      </c>
      <c r="B91" t="s">
        <v>48</v>
      </c>
      <c r="C91" t="s">
        <v>12</v>
      </c>
      <c r="D91" t="s">
        <v>13</v>
      </c>
      <c r="F91" t="s">
        <v>13</v>
      </c>
      <c r="G91">
        <v>1</v>
      </c>
      <c r="H91">
        <v>1.2041255000222</v>
      </c>
    </row>
    <row r="92" spans="1:8" x14ac:dyDescent="0.3">
      <c r="A92">
        <v>11</v>
      </c>
      <c r="B92" t="s">
        <v>29</v>
      </c>
      <c r="C92" t="s">
        <v>17</v>
      </c>
      <c r="D92" t="s">
        <v>18</v>
      </c>
      <c r="F92" t="s">
        <v>18</v>
      </c>
      <c r="G92">
        <v>1</v>
      </c>
      <c r="H92">
        <v>0.95002910000039198</v>
      </c>
    </row>
    <row r="93" spans="1:8" x14ac:dyDescent="0.3">
      <c r="A93">
        <v>12</v>
      </c>
      <c r="B93" t="s">
        <v>52</v>
      </c>
      <c r="C93" t="s">
        <v>17</v>
      </c>
      <c r="D93" t="s">
        <v>18</v>
      </c>
      <c r="F93" t="s">
        <v>18</v>
      </c>
      <c r="G93">
        <v>1</v>
      </c>
      <c r="H93">
        <v>0.91411400001379595</v>
      </c>
    </row>
    <row r="94" spans="1:8" x14ac:dyDescent="0.3">
      <c r="A94">
        <v>13</v>
      </c>
      <c r="B94" t="s">
        <v>51</v>
      </c>
      <c r="C94" t="s">
        <v>8</v>
      </c>
      <c r="D94" t="s">
        <v>9</v>
      </c>
      <c r="F94" t="s">
        <v>9</v>
      </c>
      <c r="G94">
        <v>1</v>
      </c>
      <c r="H94">
        <v>1.7274973999883501</v>
      </c>
    </row>
    <row r="95" spans="1:8" x14ac:dyDescent="0.3">
      <c r="A95">
        <v>14</v>
      </c>
      <c r="B95" t="s">
        <v>14</v>
      </c>
      <c r="C95" t="s">
        <v>8</v>
      </c>
      <c r="D95" t="s">
        <v>9</v>
      </c>
      <c r="F95" t="s">
        <v>9</v>
      </c>
      <c r="G95">
        <v>1</v>
      </c>
      <c r="H95">
        <v>0.87909190001664606</v>
      </c>
    </row>
    <row r="96" spans="1:8" x14ac:dyDescent="0.3">
      <c r="A96">
        <v>15</v>
      </c>
      <c r="B96" t="s">
        <v>38</v>
      </c>
      <c r="C96" t="s">
        <v>21</v>
      </c>
      <c r="D96" t="s">
        <v>22</v>
      </c>
      <c r="F96" t="s">
        <v>22</v>
      </c>
      <c r="G96">
        <v>1</v>
      </c>
      <c r="H96">
        <v>0.80730859999311999</v>
      </c>
    </row>
    <row r="97" spans="1:8" x14ac:dyDescent="0.3">
      <c r="A97">
        <v>16</v>
      </c>
      <c r="B97" t="s">
        <v>45</v>
      </c>
      <c r="C97" t="s">
        <v>21</v>
      </c>
      <c r="D97" t="s">
        <v>22</v>
      </c>
      <c r="F97" t="s">
        <v>22</v>
      </c>
      <c r="G97">
        <v>1</v>
      </c>
      <c r="H97">
        <v>0.83605540002463297</v>
      </c>
    </row>
    <row r="98" spans="1:8" x14ac:dyDescent="0.3">
      <c r="A98">
        <v>17</v>
      </c>
      <c r="B98" t="s">
        <v>41</v>
      </c>
      <c r="C98" t="s">
        <v>21</v>
      </c>
      <c r="D98" t="s">
        <v>22</v>
      </c>
      <c r="F98" t="s">
        <v>22</v>
      </c>
      <c r="G98">
        <v>1</v>
      </c>
      <c r="H98">
        <v>0.692277399997692</v>
      </c>
    </row>
    <row r="99" spans="1:8" x14ac:dyDescent="0.3">
      <c r="A99">
        <v>18</v>
      </c>
      <c r="B99" t="s">
        <v>27</v>
      </c>
      <c r="C99" t="s">
        <v>21</v>
      </c>
      <c r="D99" t="s">
        <v>22</v>
      </c>
      <c r="F99" t="s">
        <v>22</v>
      </c>
      <c r="G99">
        <v>1</v>
      </c>
      <c r="H99">
        <v>0.459393200027989</v>
      </c>
    </row>
    <row r="100" spans="1:8" x14ac:dyDescent="0.3">
      <c r="A100">
        <v>19</v>
      </c>
      <c r="B100" t="s">
        <v>49</v>
      </c>
      <c r="C100" t="s">
        <v>17</v>
      </c>
      <c r="D100" t="s">
        <v>18</v>
      </c>
      <c r="F100" t="s">
        <v>18</v>
      </c>
      <c r="G100">
        <v>1</v>
      </c>
      <c r="H100">
        <v>3.0140813000034501</v>
      </c>
    </row>
    <row r="101" spans="1:8" x14ac:dyDescent="0.3">
      <c r="A101">
        <v>20</v>
      </c>
      <c r="B101" t="s">
        <v>35</v>
      </c>
      <c r="C101" t="s">
        <v>17</v>
      </c>
      <c r="D101" t="s">
        <v>18</v>
      </c>
      <c r="F101" t="s">
        <v>18</v>
      </c>
      <c r="G101">
        <v>1</v>
      </c>
      <c r="H101">
        <v>0.751301800017245</v>
      </c>
    </row>
    <row r="102" spans="1:8" x14ac:dyDescent="0.3">
      <c r="A102">
        <v>21</v>
      </c>
      <c r="B102" t="s">
        <v>30</v>
      </c>
      <c r="C102" t="s">
        <v>8</v>
      </c>
      <c r="D102" t="s">
        <v>9</v>
      </c>
      <c r="F102" t="s">
        <v>9</v>
      </c>
      <c r="G102">
        <v>1</v>
      </c>
      <c r="H102">
        <v>0.80069979999097995</v>
      </c>
    </row>
    <row r="103" spans="1:8" x14ac:dyDescent="0.3">
      <c r="A103">
        <v>22</v>
      </c>
      <c r="B103" t="s">
        <v>40</v>
      </c>
      <c r="C103" t="s">
        <v>8</v>
      </c>
      <c r="D103" t="s">
        <v>9</v>
      </c>
      <c r="F103" t="s">
        <v>9</v>
      </c>
      <c r="G103">
        <v>1</v>
      </c>
      <c r="H103">
        <v>0.74786580001818903</v>
      </c>
    </row>
    <row r="104" spans="1:8" x14ac:dyDescent="0.3">
      <c r="A104">
        <v>23</v>
      </c>
      <c r="B104" t="s">
        <v>36</v>
      </c>
      <c r="C104" t="s">
        <v>8</v>
      </c>
      <c r="D104" t="s">
        <v>9</v>
      </c>
      <c r="F104" t="s">
        <v>9</v>
      </c>
      <c r="G104">
        <v>1</v>
      </c>
      <c r="H104">
        <v>0.46328239998547299</v>
      </c>
    </row>
    <row r="105" spans="1:8" x14ac:dyDescent="0.3">
      <c r="A105">
        <v>24</v>
      </c>
      <c r="B105" t="s">
        <v>34</v>
      </c>
      <c r="C105" t="s">
        <v>17</v>
      </c>
      <c r="D105" t="s">
        <v>18</v>
      </c>
      <c r="F105" t="s">
        <v>18</v>
      </c>
      <c r="G105">
        <v>1</v>
      </c>
      <c r="H105">
        <v>1.4411006000009301</v>
      </c>
    </row>
    <row r="106" spans="1:8" x14ac:dyDescent="0.3">
      <c r="A106">
        <v>25</v>
      </c>
      <c r="B106" t="s">
        <v>11</v>
      </c>
      <c r="C106" t="s">
        <v>12</v>
      </c>
      <c r="D106" t="s">
        <v>13</v>
      </c>
      <c r="F106" t="s">
        <v>13</v>
      </c>
      <c r="G106">
        <v>1</v>
      </c>
      <c r="H106">
        <v>1.2599273000087099</v>
      </c>
    </row>
    <row r="107" spans="1:8" x14ac:dyDescent="0.3">
      <c r="A107">
        <v>26</v>
      </c>
      <c r="B107" t="s">
        <v>42</v>
      </c>
      <c r="C107" t="s">
        <v>12</v>
      </c>
      <c r="D107" t="s">
        <v>13</v>
      </c>
      <c r="F107" t="s">
        <v>13</v>
      </c>
      <c r="G107">
        <v>1</v>
      </c>
      <c r="H107">
        <v>0.68853529999614604</v>
      </c>
    </row>
    <row r="108" spans="1:8" x14ac:dyDescent="0.3">
      <c r="A108">
        <v>27</v>
      </c>
      <c r="B108" t="s">
        <v>7</v>
      </c>
      <c r="C108" t="s">
        <v>8</v>
      </c>
      <c r="D108" t="s">
        <v>9</v>
      </c>
      <c r="F108" t="s">
        <v>9</v>
      </c>
      <c r="G108">
        <v>1</v>
      </c>
      <c r="H108">
        <v>1.2880681999959001</v>
      </c>
    </row>
    <row r="109" spans="1:8" x14ac:dyDescent="0.3">
      <c r="A109">
        <v>28</v>
      </c>
      <c r="B109" t="s">
        <v>46</v>
      </c>
      <c r="C109" t="s">
        <v>21</v>
      </c>
      <c r="D109" t="s">
        <v>22</v>
      </c>
      <c r="F109" t="s">
        <v>22</v>
      </c>
      <c r="G109">
        <v>1</v>
      </c>
      <c r="H109">
        <v>1.14687280001817</v>
      </c>
    </row>
    <row r="110" spans="1:8" x14ac:dyDescent="0.3">
      <c r="A110">
        <v>29</v>
      </c>
      <c r="B110" t="s">
        <v>15</v>
      </c>
      <c r="C110" t="s">
        <v>12</v>
      </c>
      <c r="D110" t="s">
        <v>13</v>
      </c>
      <c r="F110" t="s">
        <v>13</v>
      </c>
      <c r="G110">
        <v>1</v>
      </c>
      <c r="H110">
        <v>0.93434690000140097</v>
      </c>
    </row>
    <row r="111" spans="1:8" x14ac:dyDescent="0.3">
      <c r="A111">
        <v>30</v>
      </c>
      <c r="B111" t="s">
        <v>31</v>
      </c>
      <c r="C111" t="s">
        <v>8</v>
      </c>
      <c r="D111" t="s">
        <v>9</v>
      </c>
      <c r="F111" t="s">
        <v>9</v>
      </c>
      <c r="G111">
        <v>1</v>
      </c>
      <c r="H111">
        <v>1.1361792999960001</v>
      </c>
    </row>
    <row r="112" spans="1:8" x14ac:dyDescent="0.3">
      <c r="A112">
        <v>31</v>
      </c>
      <c r="B112" t="s">
        <v>32</v>
      </c>
      <c r="C112" t="s">
        <v>17</v>
      </c>
      <c r="D112" t="s">
        <v>18</v>
      </c>
      <c r="F112" t="s">
        <v>18</v>
      </c>
      <c r="G112">
        <v>1</v>
      </c>
      <c r="H112">
        <v>1.0460418000002301</v>
      </c>
    </row>
    <row r="113" spans="1:8" x14ac:dyDescent="0.3">
      <c r="A113">
        <v>32</v>
      </c>
      <c r="B113" t="s">
        <v>24</v>
      </c>
      <c r="C113" t="s">
        <v>21</v>
      </c>
      <c r="D113" t="s">
        <v>22</v>
      </c>
      <c r="F113" t="s">
        <v>22</v>
      </c>
      <c r="G113">
        <v>1</v>
      </c>
      <c r="H113">
        <v>1.9981680999917399</v>
      </c>
    </row>
    <row r="114" spans="1:8" x14ac:dyDescent="0.3">
      <c r="A114">
        <v>33</v>
      </c>
      <c r="B114" t="s">
        <v>19</v>
      </c>
      <c r="C114" t="s">
        <v>12</v>
      </c>
      <c r="D114" t="s">
        <v>13</v>
      </c>
      <c r="F114" t="s">
        <v>13</v>
      </c>
      <c r="G114">
        <v>1</v>
      </c>
      <c r="H114">
        <v>2.2506670000148001</v>
      </c>
    </row>
    <row r="115" spans="1:8" x14ac:dyDescent="0.3">
      <c r="A115">
        <v>34</v>
      </c>
      <c r="B115" t="s">
        <v>43</v>
      </c>
      <c r="C115" t="s">
        <v>21</v>
      </c>
      <c r="D115" t="s">
        <v>22</v>
      </c>
      <c r="F115" t="s">
        <v>22</v>
      </c>
      <c r="G115">
        <v>1</v>
      </c>
      <c r="H115">
        <v>1.1206095000088601</v>
      </c>
    </row>
    <row r="116" spans="1:8" x14ac:dyDescent="0.3">
      <c r="A116">
        <v>35</v>
      </c>
      <c r="B116" t="s">
        <v>50</v>
      </c>
      <c r="C116" t="s">
        <v>21</v>
      </c>
      <c r="D116" t="s">
        <v>22</v>
      </c>
      <c r="F116" t="s">
        <v>22</v>
      </c>
      <c r="G116">
        <v>1</v>
      </c>
      <c r="H116">
        <v>1.2080813000211399</v>
      </c>
    </row>
    <row r="117" spans="1:8" x14ac:dyDescent="0.3">
      <c r="A117">
        <v>36</v>
      </c>
      <c r="B117" t="s">
        <v>39</v>
      </c>
      <c r="C117" t="s">
        <v>12</v>
      </c>
      <c r="D117" t="s">
        <v>13</v>
      </c>
      <c r="F117" t="s">
        <v>13</v>
      </c>
      <c r="G117">
        <v>1</v>
      </c>
      <c r="H117">
        <v>1.33838100000866</v>
      </c>
    </row>
    <row r="118" spans="1:8" x14ac:dyDescent="0.3">
      <c r="A118">
        <v>37</v>
      </c>
      <c r="B118" t="s">
        <v>20</v>
      </c>
      <c r="C118" t="s">
        <v>21</v>
      </c>
      <c r="D118" t="s">
        <v>22</v>
      </c>
      <c r="F118" t="s">
        <v>22</v>
      </c>
      <c r="G118">
        <v>1</v>
      </c>
      <c r="H118">
        <v>1.35005499998806</v>
      </c>
    </row>
  </sheetData>
  <autoFilter ref="G2:G4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topLeftCell="D119" workbookViewId="0">
      <selection activeCell="L145" sqref="L14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101</v>
      </c>
      <c r="E1" t="s">
        <v>4</v>
      </c>
      <c r="F1" t="s">
        <v>5</v>
      </c>
      <c r="G1" t="s">
        <v>102</v>
      </c>
      <c r="H1" t="s">
        <v>6</v>
      </c>
    </row>
    <row r="3" spans="1:11" x14ac:dyDescent="0.3">
      <c r="A3">
        <v>0</v>
      </c>
      <c r="B3" t="s">
        <v>15</v>
      </c>
      <c r="C3" t="s">
        <v>12</v>
      </c>
      <c r="D3" t="s">
        <v>13</v>
      </c>
      <c r="E3" t="s">
        <v>10</v>
      </c>
      <c r="F3" t="s">
        <v>13</v>
      </c>
      <c r="G3">
        <v>1</v>
      </c>
      <c r="H3">
        <v>2.2573622000054399</v>
      </c>
    </row>
    <row r="4" spans="1:11" x14ac:dyDescent="0.3">
      <c r="A4">
        <v>1</v>
      </c>
      <c r="B4" t="s">
        <v>40</v>
      </c>
      <c r="C4" t="s">
        <v>8</v>
      </c>
      <c r="D4" t="s">
        <v>9</v>
      </c>
      <c r="E4" t="s">
        <v>10</v>
      </c>
      <c r="F4" t="s">
        <v>9</v>
      </c>
      <c r="G4">
        <v>1</v>
      </c>
      <c r="H4">
        <v>1.8573496000026299</v>
      </c>
    </row>
    <row r="5" spans="1:11" x14ac:dyDescent="0.3">
      <c r="A5">
        <v>2</v>
      </c>
      <c r="B5" t="s">
        <v>26</v>
      </c>
      <c r="C5" t="s">
        <v>12</v>
      </c>
      <c r="D5" t="s">
        <v>13</v>
      </c>
      <c r="E5" t="s">
        <v>10</v>
      </c>
      <c r="F5" t="s">
        <v>13</v>
      </c>
      <c r="G5">
        <v>1</v>
      </c>
      <c r="H5">
        <v>0.832970700022997</v>
      </c>
    </row>
    <row r="6" spans="1:11" x14ac:dyDescent="0.3">
      <c r="A6">
        <v>3</v>
      </c>
      <c r="B6" t="s">
        <v>33</v>
      </c>
      <c r="C6" t="s">
        <v>8</v>
      </c>
      <c r="D6" t="s">
        <v>9</v>
      </c>
      <c r="E6" t="s">
        <v>10</v>
      </c>
      <c r="F6" t="s">
        <v>9</v>
      </c>
      <c r="G6">
        <v>1</v>
      </c>
      <c r="H6">
        <v>0.81646410000394098</v>
      </c>
    </row>
    <row r="7" spans="1:11" x14ac:dyDescent="0.3">
      <c r="A7">
        <v>4</v>
      </c>
      <c r="B7" t="s">
        <v>14</v>
      </c>
      <c r="C7" t="s">
        <v>8</v>
      </c>
      <c r="D7" t="s">
        <v>9</v>
      </c>
      <c r="E7" t="s">
        <v>10</v>
      </c>
      <c r="F7" t="s">
        <v>9</v>
      </c>
      <c r="G7">
        <v>1</v>
      </c>
      <c r="H7">
        <v>0.86794509997707703</v>
      </c>
    </row>
    <row r="8" spans="1:11" x14ac:dyDescent="0.3">
      <c r="A8">
        <v>5</v>
      </c>
      <c r="B8" t="s">
        <v>23</v>
      </c>
      <c r="C8" t="s">
        <v>17</v>
      </c>
      <c r="D8" t="s">
        <v>18</v>
      </c>
      <c r="E8" t="s">
        <v>10</v>
      </c>
      <c r="F8" t="s">
        <v>18</v>
      </c>
      <c r="G8">
        <v>1</v>
      </c>
      <c r="H8">
        <v>1.40728680000756</v>
      </c>
    </row>
    <row r="9" spans="1:11" x14ac:dyDescent="0.3">
      <c r="A9">
        <v>6</v>
      </c>
      <c r="B9" t="s">
        <v>27</v>
      </c>
      <c r="C9" t="s">
        <v>21</v>
      </c>
      <c r="D9" t="s">
        <v>22</v>
      </c>
      <c r="E9" t="s">
        <v>10</v>
      </c>
      <c r="F9" t="s">
        <v>22</v>
      </c>
      <c r="G9">
        <v>1</v>
      </c>
      <c r="H9">
        <v>1.4060574999894</v>
      </c>
    </row>
    <row r="10" spans="1:11" x14ac:dyDescent="0.3">
      <c r="A10">
        <v>7</v>
      </c>
      <c r="B10" t="s">
        <v>7</v>
      </c>
      <c r="C10" t="s">
        <v>8</v>
      </c>
      <c r="D10" t="s">
        <v>9</v>
      </c>
      <c r="E10" t="s">
        <v>10</v>
      </c>
      <c r="F10" t="s">
        <v>9</v>
      </c>
      <c r="G10">
        <v>1</v>
      </c>
      <c r="H10">
        <v>0.81708579999394704</v>
      </c>
      <c r="J10" t="s">
        <v>93</v>
      </c>
      <c r="K10" t="s">
        <v>97</v>
      </c>
    </row>
    <row r="11" spans="1:11" x14ac:dyDescent="0.3">
      <c r="A11">
        <v>8</v>
      </c>
      <c r="B11" t="s">
        <v>39</v>
      </c>
      <c r="C11" t="s">
        <v>12</v>
      </c>
      <c r="D11" t="s">
        <v>13</v>
      </c>
      <c r="E11" t="s">
        <v>10</v>
      </c>
      <c r="F11" t="s">
        <v>13</v>
      </c>
      <c r="G11">
        <v>1</v>
      </c>
      <c r="H11">
        <v>1.01681510001071</v>
      </c>
      <c r="J11" t="s">
        <v>94</v>
      </c>
      <c r="K11">
        <f>AVERAGE(H3:H40)</f>
        <v>0.99610970263356957</v>
      </c>
    </row>
    <row r="12" spans="1:11" x14ac:dyDescent="0.3">
      <c r="A12">
        <v>9</v>
      </c>
      <c r="B12" t="s">
        <v>24</v>
      </c>
      <c r="C12" t="s">
        <v>21</v>
      </c>
      <c r="D12" t="s">
        <v>22</v>
      </c>
      <c r="E12" t="s">
        <v>10</v>
      </c>
      <c r="F12" t="s">
        <v>22</v>
      </c>
      <c r="G12">
        <v>1</v>
      </c>
      <c r="H12">
        <v>1.48721010002191</v>
      </c>
      <c r="J12" t="s">
        <v>95</v>
      </c>
      <c r="K12">
        <f>AVERAGE(H42:H79)</f>
        <v>0.71241517105265373</v>
      </c>
    </row>
    <row r="13" spans="1:11" x14ac:dyDescent="0.3">
      <c r="A13">
        <v>10</v>
      </c>
      <c r="B13" t="s">
        <v>53</v>
      </c>
      <c r="C13" t="s">
        <v>12</v>
      </c>
      <c r="D13" t="s">
        <v>13</v>
      </c>
      <c r="E13" t="s">
        <v>10</v>
      </c>
      <c r="F13" t="s">
        <v>13</v>
      </c>
      <c r="G13">
        <v>1</v>
      </c>
      <c r="H13">
        <v>1.78637080002226</v>
      </c>
      <c r="J13" t="s">
        <v>96</v>
      </c>
      <c r="K13">
        <f>AVERAGE(H81:H118)</f>
        <v>0.95275943947413544</v>
      </c>
    </row>
    <row r="14" spans="1:11" x14ac:dyDescent="0.3">
      <c r="A14">
        <v>11</v>
      </c>
      <c r="B14" t="s">
        <v>30</v>
      </c>
      <c r="C14" t="s">
        <v>8</v>
      </c>
      <c r="D14" t="s">
        <v>9</v>
      </c>
      <c r="E14" t="s">
        <v>10</v>
      </c>
      <c r="F14" t="s">
        <v>9</v>
      </c>
      <c r="G14">
        <v>1</v>
      </c>
      <c r="H14">
        <v>2.0852109999977899</v>
      </c>
    </row>
    <row r="15" spans="1:11" x14ac:dyDescent="0.3">
      <c r="A15">
        <v>12</v>
      </c>
      <c r="B15" t="s">
        <v>32</v>
      </c>
      <c r="C15" t="s">
        <v>17</v>
      </c>
      <c r="D15" t="s">
        <v>18</v>
      </c>
      <c r="E15" t="s">
        <v>10</v>
      </c>
      <c r="F15" t="s">
        <v>18</v>
      </c>
      <c r="G15">
        <v>1</v>
      </c>
      <c r="H15">
        <v>1.4276684999931599</v>
      </c>
    </row>
    <row r="16" spans="1:11" x14ac:dyDescent="0.3">
      <c r="A16">
        <v>13</v>
      </c>
      <c r="B16" t="s">
        <v>44</v>
      </c>
      <c r="C16" t="s">
        <v>12</v>
      </c>
      <c r="D16" t="s">
        <v>13</v>
      </c>
      <c r="E16" t="s">
        <v>10</v>
      </c>
      <c r="F16" t="s">
        <v>13</v>
      </c>
      <c r="G16">
        <v>1</v>
      </c>
      <c r="H16">
        <v>1.2497389999916699</v>
      </c>
    </row>
    <row r="17" spans="1:14" x14ac:dyDescent="0.3">
      <c r="A17">
        <v>14</v>
      </c>
      <c r="B17" t="s">
        <v>20</v>
      </c>
      <c r="C17" t="s">
        <v>21</v>
      </c>
      <c r="D17" t="s">
        <v>22</v>
      </c>
      <c r="E17" t="s">
        <v>10</v>
      </c>
      <c r="F17" t="s">
        <v>22</v>
      </c>
      <c r="G17">
        <v>1</v>
      </c>
      <c r="H17">
        <v>0.85733130000880897</v>
      </c>
      <c r="J17" t="s">
        <v>98</v>
      </c>
      <c r="K17">
        <f>K12-K11</f>
        <v>-0.28369453158091584</v>
      </c>
    </row>
    <row r="18" spans="1:14" x14ac:dyDescent="0.3">
      <c r="A18">
        <v>15</v>
      </c>
      <c r="B18" t="s">
        <v>35</v>
      </c>
      <c r="C18" t="s">
        <v>17</v>
      </c>
      <c r="D18" t="s">
        <v>18</v>
      </c>
      <c r="E18" t="s">
        <v>10</v>
      </c>
      <c r="F18" t="s">
        <v>18</v>
      </c>
      <c r="G18">
        <v>1</v>
      </c>
      <c r="H18">
        <v>0.82295560001512003</v>
      </c>
    </row>
    <row r="19" spans="1:14" x14ac:dyDescent="0.3">
      <c r="A19">
        <v>16</v>
      </c>
      <c r="B19" t="s">
        <v>48</v>
      </c>
      <c r="C19" t="s">
        <v>12</v>
      </c>
      <c r="D19" t="s">
        <v>13</v>
      </c>
      <c r="E19" t="s">
        <v>10</v>
      </c>
      <c r="F19" t="s">
        <v>13</v>
      </c>
      <c r="G19">
        <v>1</v>
      </c>
      <c r="H19">
        <v>0.76793110001017295</v>
      </c>
      <c r="J19" t="s">
        <v>99</v>
      </c>
      <c r="K19">
        <f>K12-K13</f>
        <v>-0.24034426842148171</v>
      </c>
    </row>
    <row r="20" spans="1:14" x14ac:dyDescent="0.3">
      <c r="A20">
        <v>17</v>
      </c>
      <c r="B20" t="s">
        <v>28</v>
      </c>
      <c r="C20" t="s">
        <v>17</v>
      </c>
      <c r="D20" t="s">
        <v>18</v>
      </c>
      <c r="E20" t="s">
        <v>10</v>
      </c>
      <c r="F20" t="s">
        <v>18</v>
      </c>
      <c r="G20">
        <v>1</v>
      </c>
      <c r="H20">
        <v>1.8508019000000699</v>
      </c>
    </row>
    <row r="21" spans="1:14" x14ac:dyDescent="0.3">
      <c r="A21">
        <v>18</v>
      </c>
      <c r="B21" t="s">
        <v>49</v>
      </c>
      <c r="C21" t="s">
        <v>17</v>
      </c>
      <c r="D21" t="s">
        <v>18</v>
      </c>
      <c r="E21" t="s">
        <v>10</v>
      </c>
      <c r="F21" t="s">
        <v>18</v>
      </c>
      <c r="G21">
        <v>1</v>
      </c>
      <c r="H21">
        <v>0.96180670001194801</v>
      </c>
      <c r="J21" t="s">
        <v>103</v>
      </c>
      <c r="K21" t="s">
        <v>104</v>
      </c>
      <c r="L21" t="s">
        <v>105</v>
      </c>
      <c r="M21" t="s">
        <v>106</v>
      </c>
      <c r="N21" t="s">
        <v>107</v>
      </c>
    </row>
    <row r="22" spans="1:14" x14ac:dyDescent="0.3">
      <c r="A22">
        <v>19</v>
      </c>
      <c r="B22" t="s">
        <v>31</v>
      </c>
      <c r="C22" t="s">
        <v>8</v>
      </c>
      <c r="D22" t="s">
        <v>9</v>
      </c>
      <c r="E22" t="s">
        <v>10</v>
      </c>
      <c r="F22" t="s">
        <v>9</v>
      </c>
      <c r="G22">
        <v>1</v>
      </c>
      <c r="H22">
        <v>0.76267559998086598</v>
      </c>
    </row>
    <row r="23" spans="1:14" x14ac:dyDescent="0.3">
      <c r="A23">
        <v>20</v>
      </c>
      <c r="B23" t="s">
        <v>42</v>
      </c>
      <c r="C23" t="s">
        <v>12</v>
      </c>
      <c r="D23" t="s">
        <v>13</v>
      </c>
      <c r="E23" t="s">
        <v>10</v>
      </c>
      <c r="F23" t="s">
        <v>13</v>
      </c>
      <c r="G23">
        <v>1</v>
      </c>
      <c r="H23">
        <v>0.75887010002043098</v>
      </c>
      <c r="J23" t="s">
        <v>94</v>
      </c>
      <c r="K23">
        <f>SUM(G3:G40)</f>
        <v>38</v>
      </c>
      <c r="L23">
        <f>SUM(G3:G40)</f>
        <v>38</v>
      </c>
      <c r="M23">
        <v>0</v>
      </c>
      <c r="N23">
        <f>L23/K23*100</f>
        <v>100</v>
      </c>
    </row>
    <row r="24" spans="1:14" x14ac:dyDescent="0.3">
      <c r="A24">
        <v>21</v>
      </c>
      <c r="B24" t="s">
        <v>11</v>
      </c>
      <c r="C24" t="s">
        <v>12</v>
      </c>
      <c r="D24" t="s">
        <v>13</v>
      </c>
      <c r="E24" t="s">
        <v>10</v>
      </c>
      <c r="F24" t="s">
        <v>13</v>
      </c>
      <c r="G24">
        <v>1</v>
      </c>
      <c r="H24">
        <v>0.66862660000333496</v>
      </c>
      <c r="J24" t="s">
        <v>95</v>
      </c>
      <c r="K24">
        <v>38</v>
      </c>
      <c r="L24">
        <f>K24-M24</f>
        <v>35</v>
      </c>
      <c r="M24">
        <v>3</v>
      </c>
      <c r="N24">
        <f>L24/K24*100</f>
        <v>92.10526315789474</v>
      </c>
    </row>
    <row r="25" spans="1:14" x14ac:dyDescent="0.3">
      <c r="A25">
        <v>22</v>
      </c>
      <c r="B25" t="s">
        <v>37</v>
      </c>
      <c r="C25" t="s">
        <v>8</v>
      </c>
      <c r="D25" t="s">
        <v>9</v>
      </c>
      <c r="E25" t="s">
        <v>10</v>
      </c>
      <c r="F25" t="s">
        <v>9</v>
      </c>
      <c r="G25">
        <v>1</v>
      </c>
      <c r="H25">
        <v>0.65085350000299502</v>
      </c>
      <c r="J25" t="s">
        <v>96</v>
      </c>
      <c r="K25">
        <v>38</v>
      </c>
      <c r="L25">
        <f>K25-M25</f>
        <v>36</v>
      </c>
      <c r="M25">
        <v>2</v>
      </c>
      <c r="N25">
        <f>L25/K25*100</f>
        <v>94.73684210526315</v>
      </c>
    </row>
    <row r="26" spans="1:14" x14ac:dyDescent="0.3">
      <c r="A26">
        <v>23</v>
      </c>
      <c r="B26" t="s">
        <v>16</v>
      </c>
      <c r="C26" t="s">
        <v>17</v>
      </c>
      <c r="D26" t="s">
        <v>18</v>
      </c>
      <c r="E26" t="s">
        <v>10</v>
      </c>
      <c r="F26" t="s">
        <v>18</v>
      </c>
      <c r="G26">
        <v>1</v>
      </c>
      <c r="H26">
        <v>0.64601690002018497</v>
      </c>
    </row>
    <row r="27" spans="1:14" x14ac:dyDescent="0.3">
      <c r="A27">
        <v>24</v>
      </c>
      <c r="B27" t="s">
        <v>43</v>
      </c>
      <c r="C27" t="s">
        <v>21</v>
      </c>
      <c r="D27" t="s">
        <v>22</v>
      </c>
      <c r="E27" t="s">
        <v>10</v>
      </c>
      <c r="F27" t="s">
        <v>22</v>
      </c>
      <c r="G27">
        <v>1</v>
      </c>
      <c r="H27">
        <v>0.74575249999179505</v>
      </c>
    </row>
    <row r="28" spans="1:14" x14ac:dyDescent="0.3">
      <c r="A28">
        <v>25</v>
      </c>
      <c r="B28" t="s">
        <v>25</v>
      </c>
      <c r="C28" t="s">
        <v>21</v>
      </c>
      <c r="D28" t="s">
        <v>22</v>
      </c>
      <c r="E28" t="s">
        <v>10</v>
      </c>
      <c r="F28" t="s">
        <v>22</v>
      </c>
      <c r="G28">
        <v>1</v>
      </c>
      <c r="H28">
        <v>0.43443750002188602</v>
      </c>
    </row>
    <row r="29" spans="1:14" x14ac:dyDescent="0.3">
      <c r="A29">
        <v>26</v>
      </c>
      <c r="B29" t="s">
        <v>51</v>
      </c>
      <c r="C29" t="s">
        <v>8</v>
      </c>
      <c r="D29" t="s">
        <v>9</v>
      </c>
      <c r="E29" t="s">
        <v>10</v>
      </c>
      <c r="F29" t="s">
        <v>9</v>
      </c>
      <c r="G29">
        <v>1</v>
      </c>
      <c r="H29">
        <v>0.64691129999118802</v>
      </c>
    </row>
    <row r="30" spans="1:14" x14ac:dyDescent="0.3">
      <c r="A30">
        <v>27</v>
      </c>
      <c r="B30" t="s">
        <v>19</v>
      </c>
      <c r="C30" t="s">
        <v>12</v>
      </c>
      <c r="D30" t="s">
        <v>13</v>
      </c>
      <c r="E30" t="s">
        <v>10</v>
      </c>
      <c r="F30" t="s">
        <v>13</v>
      </c>
      <c r="G30">
        <v>1</v>
      </c>
      <c r="H30">
        <v>0.61573790002148598</v>
      </c>
    </row>
    <row r="31" spans="1:14" x14ac:dyDescent="0.3">
      <c r="A31">
        <v>28</v>
      </c>
      <c r="B31" t="s">
        <v>41</v>
      </c>
      <c r="C31" t="s">
        <v>21</v>
      </c>
      <c r="D31" t="s">
        <v>22</v>
      </c>
      <c r="E31" t="s">
        <v>10</v>
      </c>
      <c r="F31" t="s">
        <v>22</v>
      </c>
      <c r="G31">
        <v>1</v>
      </c>
      <c r="H31">
        <v>0.78016779999597896</v>
      </c>
    </row>
    <row r="32" spans="1:14" x14ac:dyDescent="0.3">
      <c r="A32">
        <v>29</v>
      </c>
      <c r="B32" t="s">
        <v>47</v>
      </c>
      <c r="C32" t="s">
        <v>8</v>
      </c>
      <c r="D32" t="s">
        <v>9</v>
      </c>
      <c r="E32" t="s">
        <v>10</v>
      </c>
      <c r="F32" t="s">
        <v>9</v>
      </c>
      <c r="G32">
        <v>1</v>
      </c>
      <c r="H32">
        <v>0.81716379997669697</v>
      </c>
    </row>
    <row r="33" spans="1:8" x14ac:dyDescent="0.3">
      <c r="A33">
        <v>30</v>
      </c>
      <c r="B33" t="s">
        <v>29</v>
      </c>
      <c r="C33" t="s">
        <v>17</v>
      </c>
      <c r="D33" t="s">
        <v>18</v>
      </c>
      <c r="E33" t="s">
        <v>10</v>
      </c>
      <c r="F33" t="s">
        <v>18</v>
      </c>
      <c r="G33">
        <v>1</v>
      </c>
      <c r="H33">
        <v>0.66063839997514096</v>
      </c>
    </row>
    <row r="34" spans="1:8" x14ac:dyDescent="0.3">
      <c r="A34">
        <v>31</v>
      </c>
      <c r="B34" t="s">
        <v>52</v>
      </c>
      <c r="C34" t="s">
        <v>17</v>
      </c>
      <c r="D34" t="s">
        <v>18</v>
      </c>
      <c r="E34" t="s">
        <v>10</v>
      </c>
      <c r="F34" t="s">
        <v>18</v>
      </c>
      <c r="G34">
        <v>1</v>
      </c>
      <c r="H34">
        <v>0.52640110001084395</v>
      </c>
    </row>
    <row r="35" spans="1:8" x14ac:dyDescent="0.3">
      <c r="A35">
        <v>32</v>
      </c>
      <c r="B35" t="s">
        <v>50</v>
      </c>
      <c r="C35" t="s">
        <v>21</v>
      </c>
      <c r="D35" t="s">
        <v>22</v>
      </c>
      <c r="E35" t="s">
        <v>10</v>
      </c>
      <c r="F35" t="s">
        <v>22</v>
      </c>
      <c r="G35">
        <v>1</v>
      </c>
      <c r="H35">
        <v>0.82887299999129005</v>
      </c>
    </row>
    <row r="36" spans="1:8" x14ac:dyDescent="0.3">
      <c r="A36">
        <v>33</v>
      </c>
      <c r="B36" t="s">
        <v>34</v>
      </c>
      <c r="C36" t="s">
        <v>17</v>
      </c>
      <c r="D36" t="s">
        <v>18</v>
      </c>
      <c r="E36" t="s">
        <v>10</v>
      </c>
      <c r="F36" t="s">
        <v>18</v>
      </c>
      <c r="G36">
        <v>1</v>
      </c>
      <c r="H36">
        <v>0.71900670000468303</v>
      </c>
    </row>
    <row r="37" spans="1:8" x14ac:dyDescent="0.3">
      <c r="A37">
        <v>34</v>
      </c>
      <c r="B37" t="s">
        <v>46</v>
      </c>
      <c r="C37" t="s">
        <v>21</v>
      </c>
      <c r="D37" t="s">
        <v>22</v>
      </c>
      <c r="E37" t="s">
        <v>10</v>
      </c>
      <c r="F37" t="s">
        <v>22</v>
      </c>
      <c r="G37">
        <v>1</v>
      </c>
      <c r="H37">
        <v>0.57147909997729496</v>
      </c>
    </row>
    <row r="38" spans="1:8" x14ac:dyDescent="0.3">
      <c r="A38">
        <v>35</v>
      </c>
      <c r="B38" t="s">
        <v>38</v>
      </c>
      <c r="C38" t="s">
        <v>21</v>
      </c>
      <c r="D38" t="s">
        <v>22</v>
      </c>
      <c r="E38" t="s">
        <v>10</v>
      </c>
      <c r="F38" t="s">
        <v>22</v>
      </c>
      <c r="G38">
        <v>1</v>
      </c>
      <c r="H38">
        <v>0.43894540000474003</v>
      </c>
    </row>
    <row r="39" spans="1:8" x14ac:dyDescent="0.3">
      <c r="A39">
        <v>36</v>
      </c>
      <c r="B39" t="s">
        <v>36</v>
      </c>
      <c r="C39" t="s">
        <v>8</v>
      </c>
      <c r="D39" t="s">
        <v>9</v>
      </c>
      <c r="E39" t="s">
        <v>10</v>
      </c>
      <c r="F39" t="s">
        <v>9</v>
      </c>
      <c r="G39">
        <v>1</v>
      </c>
      <c r="H39">
        <v>0.91147829999681496</v>
      </c>
    </row>
    <row r="40" spans="1:8" x14ac:dyDescent="0.3">
      <c r="A40">
        <v>37</v>
      </c>
      <c r="B40" t="s">
        <v>45</v>
      </c>
      <c r="C40" t="s">
        <v>21</v>
      </c>
      <c r="D40" t="s">
        <v>22</v>
      </c>
      <c r="E40" t="s">
        <v>10</v>
      </c>
      <c r="F40" t="s">
        <v>22</v>
      </c>
      <c r="G40">
        <v>1</v>
      </c>
      <c r="H40">
        <v>1.0917703000013701</v>
      </c>
    </row>
    <row r="42" spans="1:8" x14ac:dyDescent="0.3">
      <c r="A42">
        <v>0</v>
      </c>
      <c r="B42" t="s">
        <v>78</v>
      </c>
      <c r="C42" t="s">
        <v>21</v>
      </c>
      <c r="D42" t="s">
        <v>22</v>
      </c>
      <c r="F42" t="s">
        <v>22</v>
      </c>
      <c r="G42">
        <v>1</v>
      </c>
      <c r="H42">
        <v>0.63891109998803497</v>
      </c>
    </row>
    <row r="43" spans="1:8" x14ac:dyDescent="0.3">
      <c r="A43">
        <v>1</v>
      </c>
      <c r="B43" t="s">
        <v>76</v>
      </c>
      <c r="C43" t="s">
        <v>8</v>
      </c>
      <c r="D43" t="s">
        <v>9</v>
      </c>
      <c r="F43" t="s">
        <v>9</v>
      </c>
      <c r="G43">
        <v>1</v>
      </c>
      <c r="H43">
        <v>0.64087829997879397</v>
      </c>
    </row>
    <row r="44" spans="1:8" x14ac:dyDescent="0.3">
      <c r="A44">
        <v>2</v>
      </c>
      <c r="B44" t="s">
        <v>90</v>
      </c>
      <c r="C44" t="s">
        <v>17</v>
      </c>
      <c r="D44" t="s">
        <v>18</v>
      </c>
      <c r="F44" t="s">
        <v>18</v>
      </c>
      <c r="G44">
        <v>1</v>
      </c>
      <c r="H44">
        <v>0.65023359999759101</v>
      </c>
    </row>
    <row r="45" spans="1:8" x14ac:dyDescent="0.3">
      <c r="A45">
        <v>3</v>
      </c>
      <c r="B45" t="s">
        <v>63</v>
      </c>
      <c r="C45" t="s">
        <v>21</v>
      </c>
      <c r="D45" t="s">
        <v>22</v>
      </c>
      <c r="F45" t="s">
        <v>22</v>
      </c>
      <c r="G45">
        <v>1</v>
      </c>
      <c r="H45">
        <v>0.50937590000103194</v>
      </c>
    </row>
    <row r="46" spans="1:8" x14ac:dyDescent="0.3">
      <c r="A46">
        <v>4</v>
      </c>
      <c r="B46" t="s">
        <v>89</v>
      </c>
      <c r="C46" t="s">
        <v>8</v>
      </c>
      <c r="D46" t="s">
        <v>9</v>
      </c>
      <c r="F46" t="s">
        <v>9</v>
      </c>
      <c r="G46">
        <v>1</v>
      </c>
      <c r="H46">
        <v>0.70816780001041402</v>
      </c>
    </row>
    <row r="47" spans="1:8" x14ac:dyDescent="0.3">
      <c r="A47">
        <v>5</v>
      </c>
      <c r="B47" t="s">
        <v>83</v>
      </c>
      <c r="C47" t="s">
        <v>17</v>
      </c>
      <c r="D47" t="s">
        <v>18</v>
      </c>
      <c r="F47" t="s">
        <v>18</v>
      </c>
      <c r="G47">
        <v>1</v>
      </c>
      <c r="H47">
        <v>0.65565549998427697</v>
      </c>
    </row>
    <row r="48" spans="1:8" x14ac:dyDescent="0.3">
      <c r="A48">
        <v>6</v>
      </c>
      <c r="B48" t="s">
        <v>77</v>
      </c>
      <c r="C48" t="s">
        <v>17</v>
      </c>
      <c r="D48" t="s">
        <v>18</v>
      </c>
      <c r="F48" t="s">
        <v>18</v>
      </c>
      <c r="G48">
        <v>1</v>
      </c>
      <c r="H48">
        <v>0.59600389999104597</v>
      </c>
    </row>
    <row r="49" spans="1:8" x14ac:dyDescent="0.3">
      <c r="A49">
        <v>7</v>
      </c>
      <c r="B49" t="s">
        <v>72</v>
      </c>
      <c r="C49" t="s">
        <v>17</v>
      </c>
      <c r="D49" t="s">
        <v>18</v>
      </c>
      <c r="F49" t="s">
        <v>18</v>
      </c>
      <c r="G49">
        <v>1</v>
      </c>
      <c r="H49">
        <v>0.52660389998345603</v>
      </c>
    </row>
    <row r="50" spans="1:8" x14ac:dyDescent="0.3">
      <c r="A50">
        <v>8</v>
      </c>
      <c r="B50" t="s">
        <v>70</v>
      </c>
      <c r="C50" t="s">
        <v>8</v>
      </c>
      <c r="D50" t="s">
        <v>9</v>
      </c>
      <c r="F50" t="s">
        <v>22</v>
      </c>
      <c r="G50" s="1">
        <v>0</v>
      </c>
      <c r="H50">
        <v>0.60466059998725497</v>
      </c>
    </row>
    <row r="51" spans="1:8" x14ac:dyDescent="0.3">
      <c r="A51">
        <v>9</v>
      </c>
      <c r="B51" t="s">
        <v>68</v>
      </c>
      <c r="C51" t="s">
        <v>12</v>
      </c>
      <c r="D51" t="s">
        <v>13</v>
      </c>
      <c r="F51" t="s">
        <v>13</v>
      </c>
      <c r="G51">
        <v>1</v>
      </c>
      <c r="H51">
        <v>0.64794190000975505</v>
      </c>
    </row>
    <row r="52" spans="1:8" x14ac:dyDescent="0.3">
      <c r="A52">
        <v>10</v>
      </c>
      <c r="B52" t="s">
        <v>74</v>
      </c>
      <c r="C52" t="s">
        <v>17</v>
      </c>
      <c r="D52" t="s">
        <v>18</v>
      </c>
      <c r="F52" t="s">
        <v>18</v>
      </c>
      <c r="G52">
        <v>1</v>
      </c>
      <c r="H52">
        <v>0.704161600006045</v>
      </c>
    </row>
    <row r="53" spans="1:8" x14ac:dyDescent="0.3">
      <c r="A53">
        <v>11</v>
      </c>
      <c r="B53" t="s">
        <v>79</v>
      </c>
      <c r="C53" t="s">
        <v>8</v>
      </c>
      <c r="D53" t="s">
        <v>9</v>
      </c>
      <c r="F53" t="s">
        <v>9</v>
      </c>
      <c r="G53">
        <v>1</v>
      </c>
      <c r="H53">
        <v>0.56198530000983704</v>
      </c>
    </row>
    <row r="54" spans="1:8" x14ac:dyDescent="0.3">
      <c r="A54">
        <v>12</v>
      </c>
      <c r="B54" t="s">
        <v>58</v>
      </c>
      <c r="C54" t="s">
        <v>8</v>
      </c>
      <c r="D54" t="s">
        <v>9</v>
      </c>
      <c r="F54" t="s">
        <v>9</v>
      </c>
      <c r="G54">
        <v>1</v>
      </c>
      <c r="H54">
        <v>0.67825980001361996</v>
      </c>
    </row>
    <row r="55" spans="1:8" x14ac:dyDescent="0.3">
      <c r="A55">
        <v>13</v>
      </c>
      <c r="B55" t="s">
        <v>62</v>
      </c>
      <c r="C55" t="s">
        <v>21</v>
      </c>
      <c r="D55" t="s">
        <v>22</v>
      </c>
      <c r="F55" t="s">
        <v>22</v>
      </c>
      <c r="G55">
        <v>1</v>
      </c>
      <c r="H55">
        <v>0.68960030001471695</v>
      </c>
    </row>
    <row r="56" spans="1:8" x14ac:dyDescent="0.3">
      <c r="A56">
        <v>14</v>
      </c>
      <c r="B56" t="s">
        <v>85</v>
      </c>
      <c r="C56" t="s">
        <v>21</v>
      </c>
      <c r="D56" t="s">
        <v>22</v>
      </c>
      <c r="F56" t="s">
        <v>22</v>
      </c>
      <c r="G56">
        <v>1</v>
      </c>
      <c r="H56">
        <v>0.94597060000523903</v>
      </c>
    </row>
    <row r="57" spans="1:8" x14ac:dyDescent="0.3">
      <c r="A57">
        <v>15</v>
      </c>
      <c r="B57" t="s">
        <v>66</v>
      </c>
      <c r="C57" t="s">
        <v>8</v>
      </c>
      <c r="D57" t="s">
        <v>9</v>
      </c>
      <c r="F57" t="s">
        <v>9</v>
      </c>
      <c r="G57">
        <v>1</v>
      </c>
      <c r="H57">
        <v>1.0345233000116401</v>
      </c>
    </row>
    <row r="58" spans="1:8" x14ac:dyDescent="0.3">
      <c r="A58">
        <v>16</v>
      </c>
      <c r="B58" t="s">
        <v>82</v>
      </c>
      <c r="C58" t="s">
        <v>12</v>
      </c>
      <c r="D58" t="s">
        <v>13</v>
      </c>
      <c r="F58" t="s">
        <v>13</v>
      </c>
      <c r="G58">
        <v>1</v>
      </c>
      <c r="H58">
        <v>0.67300380000961002</v>
      </c>
    </row>
    <row r="59" spans="1:8" x14ac:dyDescent="0.3">
      <c r="A59">
        <v>17</v>
      </c>
      <c r="B59" t="s">
        <v>71</v>
      </c>
      <c r="C59" t="s">
        <v>12</v>
      </c>
      <c r="D59" t="s">
        <v>13</v>
      </c>
      <c r="F59" t="s">
        <v>13</v>
      </c>
      <c r="G59">
        <v>1</v>
      </c>
      <c r="H59">
        <v>0.79166790001909204</v>
      </c>
    </row>
    <row r="60" spans="1:8" x14ac:dyDescent="0.3">
      <c r="A60">
        <v>18</v>
      </c>
      <c r="B60" t="s">
        <v>87</v>
      </c>
      <c r="C60" t="s">
        <v>12</v>
      </c>
      <c r="D60" t="s">
        <v>13</v>
      </c>
      <c r="F60" t="s">
        <v>13</v>
      </c>
      <c r="G60">
        <v>1</v>
      </c>
      <c r="H60">
        <v>0.88522940000984796</v>
      </c>
    </row>
    <row r="61" spans="1:8" x14ac:dyDescent="0.3">
      <c r="A61">
        <v>19</v>
      </c>
      <c r="B61" t="s">
        <v>81</v>
      </c>
      <c r="C61" t="s">
        <v>21</v>
      </c>
      <c r="D61" t="s">
        <v>22</v>
      </c>
      <c r="F61" t="s">
        <v>22</v>
      </c>
      <c r="G61">
        <v>1</v>
      </c>
      <c r="H61">
        <v>0.78259410001919605</v>
      </c>
    </row>
    <row r="62" spans="1:8" x14ac:dyDescent="0.3">
      <c r="A62">
        <v>20</v>
      </c>
      <c r="B62" t="s">
        <v>59</v>
      </c>
      <c r="C62" t="s">
        <v>12</v>
      </c>
      <c r="D62" t="s">
        <v>13</v>
      </c>
      <c r="F62" t="s">
        <v>13</v>
      </c>
      <c r="G62">
        <v>1</v>
      </c>
      <c r="H62">
        <v>0.76454869998269703</v>
      </c>
    </row>
    <row r="63" spans="1:8" x14ac:dyDescent="0.3">
      <c r="A63">
        <v>21</v>
      </c>
      <c r="B63" t="s">
        <v>56</v>
      </c>
      <c r="C63" t="s">
        <v>12</v>
      </c>
      <c r="D63" t="s">
        <v>13</v>
      </c>
      <c r="F63" t="s">
        <v>13</v>
      </c>
      <c r="G63">
        <v>1</v>
      </c>
      <c r="H63">
        <v>0.78163010001298905</v>
      </c>
    </row>
    <row r="64" spans="1:8" x14ac:dyDescent="0.3">
      <c r="A64">
        <v>22</v>
      </c>
      <c r="B64" t="s">
        <v>64</v>
      </c>
      <c r="C64" t="s">
        <v>12</v>
      </c>
      <c r="D64" t="s">
        <v>13</v>
      </c>
      <c r="F64" t="s">
        <v>13</v>
      </c>
      <c r="G64">
        <v>1</v>
      </c>
      <c r="H64">
        <v>0.58595919999061097</v>
      </c>
    </row>
    <row r="65" spans="1:8" x14ac:dyDescent="0.3">
      <c r="A65">
        <v>23</v>
      </c>
      <c r="B65" t="s">
        <v>61</v>
      </c>
      <c r="C65" t="s">
        <v>21</v>
      </c>
      <c r="D65" t="s">
        <v>22</v>
      </c>
      <c r="F65" t="s">
        <v>22</v>
      </c>
      <c r="G65">
        <v>1</v>
      </c>
      <c r="H65">
        <v>0.79462959998636495</v>
      </c>
    </row>
    <row r="66" spans="1:8" x14ac:dyDescent="0.3">
      <c r="A66">
        <v>24</v>
      </c>
      <c r="B66" t="s">
        <v>73</v>
      </c>
      <c r="C66" t="s">
        <v>21</v>
      </c>
      <c r="D66" t="s">
        <v>22</v>
      </c>
      <c r="F66" t="s">
        <v>22</v>
      </c>
      <c r="G66">
        <v>1</v>
      </c>
      <c r="H66">
        <v>0.72477359999902502</v>
      </c>
    </row>
    <row r="67" spans="1:8" x14ac:dyDescent="0.3">
      <c r="A67">
        <v>25</v>
      </c>
      <c r="B67" t="s">
        <v>69</v>
      </c>
      <c r="C67" t="s">
        <v>8</v>
      </c>
      <c r="D67" t="s">
        <v>9</v>
      </c>
      <c r="F67" t="s">
        <v>9</v>
      </c>
      <c r="G67">
        <v>1</v>
      </c>
      <c r="H67">
        <v>0.77169220001087502</v>
      </c>
    </row>
    <row r="68" spans="1:8" x14ac:dyDescent="0.3">
      <c r="A68">
        <v>26</v>
      </c>
      <c r="B68" t="s">
        <v>65</v>
      </c>
      <c r="C68" t="s">
        <v>17</v>
      </c>
      <c r="D68" t="s">
        <v>18</v>
      </c>
      <c r="F68" t="s">
        <v>18</v>
      </c>
      <c r="G68">
        <v>1</v>
      </c>
      <c r="H68">
        <v>0.85885360001702704</v>
      </c>
    </row>
    <row r="69" spans="1:8" x14ac:dyDescent="0.3">
      <c r="A69">
        <v>27</v>
      </c>
      <c r="B69" t="s">
        <v>54</v>
      </c>
      <c r="C69" t="s">
        <v>8</v>
      </c>
      <c r="D69" t="s">
        <v>9</v>
      </c>
      <c r="F69" t="s">
        <v>9</v>
      </c>
      <c r="G69">
        <v>1</v>
      </c>
      <c r="H69">
        <v>0.98662789998343203</v>
      </c>
    </row>
    <row r="70" spans="1:8" x14ac:dyDescent="0.3">
      <c r="A70">
        <v>28</v>
      </c>
      <c r="B70" t="s">
        <v>86</v>
      </c>
      <c r="C70" t="s">
        <v>8</v>
      </c>
      <c r="D70" t="s">
        <v>9</v>
      </c>
      <c r="F70" t="s">
        <v>9</v>
      </c>
      <c r="G70">
        <v>1</v>
      </c>
      <c r="H70">
        <v>0.52448799999547102</v>
      </c>
    </row>
    <row r="71" spans="1:8" x14ac:dyDescent="0.3">
      <c r="A71">
        <v>29</v>
      </c>
      <c r="B71" t="s">
        <v>84</v>
      </c>
      <c r="C71" t="s">
        <v>21</v>
      </c>
      <c r="D71" t="s">
        <v>22</v>
      </c>
      <c r="F71" t="s">
        <v>22</v>
      </c>
      <c r="G71">
        <v>1</v>
      </c>
      <c r="H71">
        <v>0.75114049998228405</v>
      </c>
    </row>
    <row r="72" spans="1:8" x14ac:dyDescent="0.3">
      <c r="A72">
        <v>30</v>
      </c>
      <c r="B72" t="s">
        <v>60</v>
      </c>
      <c r="C72" t="s">
        <v>21</v>
      </c>
      <c r="D72" t="s">
        <v>22</v>
      </c>
      <c r="F72" t="s">
        <v>22</v>
      </c>
      <c r="G72">
        <v>1</v>
      </c>
      <c r="H72">
        <v>0.47824129997752601</v>
      </c>
    </row>
    <row r="73" spans="1:8" x14ac:dyDescent="0.3">
      <c r="A73">
        <v>31</v>
      </c>
      <c r="B73" t="s">
        <v>80</v>
      </c>
      <c r="C73" t="s">
        <v>17</v>
      </c>
      <c r="D73" t="s">
        <v>18</v>
      </c>
      <c r="F73" t="s">
        <v>18</v>
      </c>
      <c r="G73">
        <v>1</v>
      </c>
      <c r="H73">
        <v>1.0292154000198901</v>
      </c>
    </row>
    <row r="74" spans="1:8" x14ac:dyDescent="0.3">
      <c r="A74">
        <v>32</v>
      </c>
      <c r="B74" t="s">
        <v>57</v>
      </c>
      <c r="C74" t="s">
        <v>8</v>
      </c>
      <c r="D74" t="s">
        <v>9</v>
      </c>
      <c r="F74" t="s">
        <v>9</v>
      </c>
      <c r="G74">
        <v>1</v>
      </c>
      <c r="H74">
        <v>0.71107469999697004</v>
      </c>
    </row>
    <row r="75" spans="1:8" x14ac:dyDescent="0.3">
      <c r="A75">
        <v>33</v>
      </c>
      <c r="B75" t="s">
        <v>67</v>
      </c>
      <c r="C75" t="s">
        <v>17</v>
      </c>
      <c r="D75" t="s">
        <v>18</v>
      </c>
      <c r="F75" t="s">
        <v>22</v>
      </c>
      <c r="G75" s="1">
        <v>0</v>
      </c>
      <c r="H75">
        <v>0.777150199981406</v>
      </c>
    </row>
    <row r="76" spans="1:8" x14ac:dyDescent="0.3">
      <c r="A76">
        <v>34</v>
      </c>
      <c r="B76" t="s">
        <v>55</v>
      </c>
      <c r="C76" t="s">
        <v>12</v>
      </c>
      <c r="D76" t="s">
        <v>13</v>
      </c>
      <c r="F76" t="s">
        <v>13</v>
      </c>
      <c r="G76">
        <v>1</v>
      </c>
      <c r="H76">
        <v>0.682620900013716</v>
      </c>
    </row>
    <row r="77" spans="1:8" x14ac:dyDescent="0.3">
      <c r="A77">
        <v>35</v>
      </c>
      <c r="B77" t="s">
        <v>75</v>
      </c>
      <c r="C77" t="s">
        <v>17</v>
      </c>
      <c r="D77" t="s">
        <v>18</v>
      </c>
      <c r="F77" t="s">
        <v>13</v>
      </c>
      <c r="G77" s="1">
        <v>0</v>
      </c>
      <c r="H77">
        <v>0.617914400005247</v>
      </c>
    </row>
    <row r="78" spans="1:8" x14ac:dyDescent="0.3">
      <c r="A78">
        <v>36</v>
      </c>
      <c r="B78" t="s">
        <v>88</v>
      </c>
      <c r="C78" t="s">
        <v>21</v>
      </c>
      <c r="D78" t="s">
        <v>22</v>
      </c>
      <c r="F78" t="s">
        <v>22</v>
      </c>
      <c r="G78">
        <v>1</v>
      </c>
      <c r="H78">
        <v>0.63125529998796903</v>
      </c>
    </row>
    <row r="79" spans="1:8" x14ac:dyDescent="0.3">
      <c r="A79">
        <v>37</v>
      </c>
      <c r="B79" t="s">
        <v>91</v>
      </c>
      <c r="C79" t="s">
        <v>12</v>
      </c>
      <c r="D79" t="s">
        <v>13</v>
      </c>
      <c r="F79" t="s">
        <v>13</v>
      </c>
      <c r="G79">
        <v>1</v>
      </c>
      <c r="H79">
        <v>0.67453230000683095</v>
      </c>
    </row>
    <row r="81" spans="1:8" x14ac:dyDescent="0.3">
      <c r="A81">
        <v>0</v>
      </c>
      <c r="B81" t="s">
        <v>47</v>
      </c>
      <c r="C81" t="s">
        <v>8</v>
      </c>
      <c r="D81" t="s">
        <v>9</v>
      </c>
      <c r="F81" t="s">
        <v>9</v>
      </c>
      <c r="G81">
        <v>1</v>
      </c>
      <c r="H81">
        <v>0.61069420000421804</v>
      </c>
    </row>
    <row r="82" spans="1:8" x14ac:dyDescent="0.3">
      <c r="A82">
        <v>1</v>
      </c>
      <c r="B82" t="s">
        <v>20</v>
      </c>
      <c r="C82" t="s">
        <v>21</v>
      </c>
      <c r="D82" t="s">
        <v>22</v>
      </c>
      <c r="F82" t="s">
        <v>22</v>
      </c>
      <c r="G82">
        <v>1</v>
      </c>
      <c r="H82">
        <v>0.978057600004831</v>
      </c>
    </row>
    <row r="83" spans="1:8" x14ac:dyDescent="0.3">
      <c r="A83">
        <v>2</v>
      </c>
      <c r="B83" t="s">
        <v>7</v>
      </c>
      <c r="C83" t="s">
        <v>8</v>
      </c>
      <c r="D83" t="s">
        <v>9</v>
      </c>
      <c r="F83" t="s">
        <v>9</v>
      </c>
      <c r="G83">
        <v>1</v>
      </c>
      <c r="H83">
        <v>0.94911469999351505</v>
      </c>
    </row>
    <row r="84" spans="1:8" x14ac:dyDescent="0.3">
      <c r="A84">
        <v>3</v>
      </c>
      <c r="B84" t="s">
        <v>38</v>
      </c>
      <c r="C84" t="s">
        <v>21</v>
      </c>
      <c r="D84" t="s">
        <v>22</v>
      </c>
      <c r="F84" t="s">
        <v>22</v>
      </c>
      <c r="G84">
        <v>1</v>
      </c>
      <c r="H84">
        <v>0.698872100008884</v>
      </c>
    </row>
    <row r="85" spans="1:8" x14ac:dyDescent="0.3">
      <c r="A85">
        <v>4</v>
      </c>
      <c r="B85" t="s">
        <v>50</v>
      </c>
      <c r="C85" t="s">
        <v>21</v>
      </c>
      <c r="D85" t="s">
        <v>22</v>
      </c>
      <c r="F85" t="s">
        <v>22</v>
      </c>
      <c r="G85">
        <v>1</v>
      </c>
      <c r="H85">
        <v>0.99742130000959095</v>
      </c>
    </row>
    <row r="86" spans="1:8" x14ac:dyDescent="0.3">
      <c r="A86">
        <v>5</v>
      </c>
      <c r="B86" t="s">
        <v>53</v>
      </c>
      <c r="C86" t="s">
        <v>12</v>
      </c>
      <c r="D86" t="s">
        <v>13</v>
      </c>
      <c r="F86" t="s">
        <v>13</v>
      </c>
      <c r="G86">
        <v>1</v>
      </c>
      <c r="H86">
        <v>0.62318679998861604</v>
      </c>
    </row>
    <row r="87" spans="1:8" x14ac:dyDescent="0.3">
      <c r="A87">
        <v>6</v>
      </c>
      <c r="B87" t="s">
        <v>51</v>
      </c>
      <c r="C87" t="s">
        <v>8</v>
      </c>
      <c r="D87" t="s">
        <v>9</v>
      </c>
      <c r="F87" t="s">
        <v>9</v>
      </c>
      <c r="G87">
        <v>1</v>
      </c>
      <c r="H87">
        <v>0.57093709998298403</v>
      </c>
    </row>
    <row r="88" spans="1:8" x14ac:dyDescent="0.3">
      <c r="A88">
        <v>7</v>
      </c>
      <c r="B88" t="s">
        <v>42</v>
      </c>
      <c r="C88" t="s">
        <v>12</v>
      </c>
      <c r="D88" t="s">
        <v>13</v>
      </c>
      <c r="F88" t="s">
        <v>13</v>
      </c>
      <c r="G88">
        <v>1</v>
      </c>
      <c r="H88">
        <v>0.70623209999757797</v>
      </c>
    </row>
    <row r="89" spans="1:8" x14ac:dyDescent="0.3">
      <c r="A89">
        <v>8</v>
      </c>
      <c r="B89" t="s">
        <v>41</v>
      </c>
      <c r="C89" t="s">
        <v>21</v>
      </c>
      <c r="D89" t="s">
        <v>22</v>
      </c>
      <c r="F89" t="s">
        <v>9</v>
      </c>
      <c r="G89" s="1">
        <v>0</v>
      </c>
      <c r="H89">
        <v>0.61992489997646705</v>
      </c>
    </row>
    <row r="90" spans="1:8" x14ac:dyDescent="0.3">
      <c r="A90">
        <v>9</v>
      </c>
      <c r="B90" t="s">
        <v>45</v>
      </c>
      <c r="C90" t="s">
        <v>21</v>
      </c>
      <c r="D90" t="s">
        <v>22</v>
      </c>
      <c r="F90" t="s">
        <v>22</v>
      </c>
      <c r="G90">
        <v>1</v>
      </c>
      <c r="H90">
        <v>0.72152620000997503</v>
      </c>
    </row>
    <row r="91" spans="1:8" x14ac:dyDescent="0.3">
      <c r="A91">
        <v>10</v>
      </c>
      <c r="B91" t="s">
        <v>37</v>
      </c>
      <c r="C91" t="s">
        <v>8</v>
      </c>
      <c r="D91" t="s">
        <v>9</v>
      </c>
      <c r="F91" t="s">
        <v>9</v>
      </c>
      <c r="G91">
        <v>1</v>
      </c>
      <c r="H91">
        <v>0.705047399998875</v>
      </c>
    </row>
    <row r="92" spans="1:8" x14ac:dyDescent="0.3">
      <c r="A92">
        <v>11</v>
      </c>
      <c r="B92" t="s">
        <v>26</v>
      </c>
      <c r="C92" t="s">
        <v>12</v>
      </c>
      <c r="D92" t="s">
        <v>13</v>
      </c>
      <c r="F92" t="s">
        <v>13</v>
      </c>
      <c r="G92">
        <v>1</v>
      </c>
      <c r="H92">
        <v>0.67043669999111399</v>
      </c>
    </row>
    <row r="93" spans="1:8" x14ac:dyDescent="0.3">
      <c r="A93">
        <v>12</v>
      </c>
      <c r="B93" t="s">
        <v>29</v>
      </c>
      <c r="C93" t="s">
        <v>17</v>
      </c>
      <c r="D93" t="s">
        <v>18</v>
      </c>
      <c r="F93" t="s">
        <v>18</v>
      </c>
      <c r="G93">
        <v>1</v>
      </c>
      <c r="H93">
        <v>0.86767790000885703</v>
      </c>
    </row>
    <row r="94" spans="1:8" x14ac:dyDescent="0.3">
      <c r="A94">
        <v>13</v>
      </c>
      <c r="B94" t="s">
        <v>92</v>
      </c>
      <c r="C94" t="s">
        <v>17</v>
      </c>
      <c r="D94" t="s">
        <v>18</v>
      </c>
      <c r="F94" t="s">
        <v>18</v>
      </c>
      <c r="G94">
        <v>1</v>
      </c>
      <c r="H94">
        <v>0.77968970002257199</v>
      </c>
    </row>
    <row r="95" spans="1:8" x14ac:dyDescent="0.3">
      <c r="A95">
        <v>14</v>
      </c>
      <c r="B95" t="s">
        <v>11</v>
      </c>
      <c r="C95" t="s">
        <v>12</v>
      </c>
      <c r="D95" t="s">
        <v>13</v>
      </c>
      <c r="F95" t="s">
        <v>13</v>
      </c>
      <c r="G95">
        <v>1</v>
      </c>
      <c r="H95">
        <v>0.68354090000502699</v>
      </c>
    </row>
    <row r="96" spans="1:8" x14ac:dyDescent="0.3">
      <c r="A96">
        <v>15</v>
      </c>
      <c r="B96" t="s">
        <v>40</v>
      </c>
      <c r="C96" t="s">
        <v>8</v>
      </c>
      <c r="D96" t="s">
        <v>9</v>
      </c>
      <c r="F96" t="s">
        <v>9</v>
      </c>
      <c r="G96">
        <v>1</v>
      </c>
      <c r="H96">
        <v>0.67338380002183795</v>
      </c>
    </row>
    <row r="97" spans="1:8" x14ac:dyDescent="0.3">
      <c r="A97">
        <v>16</v>
      </c>
      <c r="B97" t="s">
        <v>16</v>
      </c>
      <c r="C97" t="s">
        <v>17</v>
      </c>
      <c r="D97" t="s">
        <v>18</v>
      </c>
      <c r="F97" t="s">
        <v>18</v>
      </c>
      <c r="G97">
        <v>1</v>
      </c>
      <c r="H97">
        <v>1.2547486999828801</v>
      </c>
    </row>
    <row r="98" spans="1:8" x14ac:dyDescent="0.3">
      <c r="A98">
        <v>17</v>
      </c>
      <c r="B98" t="s">
        <v>14</v>
      </c>
      <c r="C98" t="s">
        <v>8</v>
      </c>
      <c r="D98" t="s">
        <v>9</v>
      </c>
      <c r="F98" t="s">
        <v>9</v>
      </c>
      <c r="G98">
        <v>1</v>
      </c>
      <c r="H98">
        <v>1.0116220999916501</v>
      </c>
    </row>
    <row r="99" spans="1:8" x14ac:dyDescent="0.3">
      <c r="A99">
        <v>18</v>
      </c>
      <c r="B99" t="s">
        <v>35</v>
      </c>
      <c r="C99" t="s">
        <v>17</v>
      </c>
      <c r="D99" t="s">
        <v>18</v>
      </c>
      <c r="F99" t="s">
        <v>18</v>
      </c>
      <c r="G99">
        <v>1</v>
      </c>
      <c r="H99">
        <v>1.06143470000824</v>
      </c>
    </row>
    <row r="100" spans="1:8" x14ac:dyDescent="0.3">
      <c r="A100">
        <v>19</v>
      </c>
      <c r="B100" t="s">
        <v>36</v>
      </c>
      <c r="C100" t="s">
        <v>8</v>
      </c>
      <c r="D100" t="s">
        <v>9</v>
      </c>
      <c r="F100" t="s">
        <v>9</v>
      </c>
      <c r="G100">
        <v>1</v>
      </c>
      <c r="H100">
        <v>1.1476387000002399</v>
      </c>
    </row>
    <row r="101" spans="1:8" x14ac:dyDescent="0.3">
      <c r="A101">
        <v>20</v>
      </c>
      <c r="B101" t="s">
        <v>25</v>
      </c>
      <c r="C101" t="s">
        <v>21</v>
      </c>
      <c r="D101" t="s">
        <v>22</v>
      </c>
      <c r="F101" t="s">
        <v>22</v>
      </c>
      <c r="G101">
        <v>1</v>
      </c>
      <c r="H101">
        <v>1.01895589998457</v>
      </c>
    </row>
    <row r="102" spans="1:8" x14ac:dyDescent="0.3">
      <c r="A102">
        <v>21</v>
      </c>
      <c r="B102" t="s">
        <v>44</v>
      </c>
      <c r="C102" t="s">
        <v>12</v>
      </c>
      <c r="D102" t="s">
        <v>13</v>
      </c>
      <c r="F102" t="s">
        <v>13</v>
      </c>
      <c r="G102">
        <v>1</v>
      </c>
      <c r="H102">
        <v>2.2393491999828199</v>
      </c>
    </row>
    <row r="103" spans="1:8" x14ac:dyDescent="0.3">
      <c r="A103">
        <v>22</v>
      </c>
      <c r="B103" t="s">
        <v>27</v>
      </c>
      <c r="C103" t="s">
        <v>21</v>
      </c>
      <c r="D103" t="s">
        <v>22</v>
      </c>
      <c r="F103" t="s">
        <v>22</v>
      </c>
      <c r="G103">
        <v>1</v>
      </c>
      <c r="H103">
        <v>1.2300388000148801</v>
      </c>
    </row>
    <row r="104" spans="1:8" x14ac:dyDescent="0.3">
      <c r="A104">
        <v>23</v>
      </c>
      <c r="B104" t="s">
        <v>31</v>
      </c>
      <c r="C104" t="s">
        <v>8</v>
      </c>
      <c r="D104" t="s">
        <v>9</v>
      </c>
      <c r="F104" t="s">
        <v>9</v>
      </c>
      <c r="G104">
        <v>1</v>
      </c>
      <c r="H104">
        <v>2.0188692999945399</v>
      </c>
    </row>
    <row r="105" spans="1:8" x14ac:dyDescent="0.3">
      <c r="A105">
        <v>24</v>
      </c>
      <c r="B105" t="s">
        <v>32</v>
      </c>
      <c r="C105" t="s">
        <v>17</v>
      </c>
      <c r="D105" t="s">
        <v>18</v>
      </c>
      <c r="F105" t="s">
        <v>18</v>
      </c>
      <c r="G105">
        <v>1</v>
      </c>
      <c r="H105">
        <v>0.77444449998438303</v>
      </c>
    </row>
    <row r="106" spans="1:8" x14ac:dyDescent="0.3">
      <c r="A106">
        <v>25</v>
      </c>
      <c r="B106" t="s">
        <v>33</v>
      </c>
      <c r="C106" t="s">
        <v>8</v>
      </c>
      <c r="D106" t="s">
        <v>9</v>
      </c>
      <c r="F106" t="s">
        <v>9</v>
      </c>
      <c r="G106">
        <v>1</v>
      </c>
      <c r="H106">
        <v>2.4271496000001198</v>
      </c>
    </row>
    <row r="107" spans="1:8" x14ac:dyDescent="0.3">
      <c r="A107">
        <v>26</v>
      </c>
      <c r="B107" t="s">
        <v>30</v>
      </c>
      <c r="C107" t="s">
        <v>8</v>
      </c>
      <c r="D107" t="s">
        <v>9</v>
      </c>
      <c r="F107" t="s">
        <v>9</v>
      </c>
      <c r="G107">
        <v>1</v>
      </c>
      <c r="H107">
        <v>0.66469590002088796</v>
      </c>
    </row>
    <row r="108" spans="1:8" x14ac:dyDescent="0.3">
      <c r="A108">
        <v>27</v>
      </c>
      <c r="B108" t="s">
        <v>39</v>
      </c>
      <c r="C108" t="s">
        <v>12</v>
      </c>
      <c r="D108" t="s">
        <v>13</v>
      </c>
      <c r="F108" t="s">
        <v>13</v>
      </c>
      <c r="G108">
        <v>1</v>
      </c>
      <c r="H108">
        <v>1.1014836999820501</v>
      </c>
    </row>
    <row r="109" spans="1:8" x14ac:dyDescent="0.3">
      <c r="A109">
        <v>28</v>
      </c>
      <c r="B109" t="s">
        <v>34</v>
      </c>
      <c r="C109" t="s">
        <v>17</v>
      </c>
      <c r="D109" t="s">
        <v>18</v>
      </c>
      <c r="F109" t="s">
        <v>18</v>
      </c>
      <c r="G109">
        <v>1</v>
      </c>
      <c r="H109">
        <v>0.97178729998995494</v>
      </c>
    </row>
    <row r="110" spans="1:8" x14ac:dyDescent="0.3">
      <c r="A110">
        <v>29</v>
      </c>
      <c r="B110" t="s">
        <v>15</v>
      </c>
      <c r="C110" t="s">
        <v>12</v>
      </c>
      <c r="D110" t="s">
        <v>13</v>
      </c>
      <c r="F110" t="s">
        <v>13</v>
      </c>
      <c r="G110">
        <v>1</v>
      </c>
      <c r="H110">
        <v>1.0554066000040601</v>
      </c>
    </row>
    <row r="111" spans="1:8" x14ac:dyDescent="0.3">
      <c r="A111">
        <v>30</v>
      </c>
      <c r="B111" t="s">
        <v>49</v>
      </c>
      <c r="C111" t="s">
        <v>17</v>
      </c>
      <c r="D111" t="s">
        <v>18</v>
      </c>
      <c r="F111" t="s">
        <v>18</v>
      </c>
      <c r="G111">
        <v>1</v>
      </c>
      <c r="H111">
        <v>0.67375420001917496</v>
      </c>
    </row>
    <row r="112" spans="1:8" x14ac:dyDescent="0.3">
      <c r="A112">
        <v>31</v>
      </c>
      <c r="B112" t="s">
        <v>43</v>
      </c>
      <c r="C112" t="s">
        <v>21</v>
      </c>
      <c r="D112" t="s">
        <v>22</v>
      </c>
      <c r="F112" t="s">
        <v>22</v>
      </c>
      <c r="G112">
        <v>1</v>
      </c>
      <c r="H112">
        <v>0.871575800003483</v>
      </c>
    </row>
    <row r="113" spans="1:8" x14ac:dyDescent="0.3">
      <c r="A113">
        <v>32</v>
      </c>
      <c r="B113" t="s">
        <v>48</v>
      </c>
      <c r="C113" t="s">
        <v>12</v>
      </c>
      <c r="D113" t="s">
        <v>13</v>
      </c>
      <c r="F113" t="s">
        <v>13</v>
      </c>
      <c r="G113">
        <v>1</v>
      </c>
      <c r="H113">
        <v>0.66226559999631696</v>
      </c>
    </row>
    <row r="114" spans="1:8" x14ac:dyDescent="0.3">
      <c r="A114">
        <v>33</v>
      </c>
      <c r="B114" t="s">
        <v>23</v>
      </c>
      <c r="C114" t="s">
        <v>17</v>
      </c>
      <c r="D114" t="s">
        <v>18</v>
      </c>
      <c r="F114" t="s">
        <v>18</v>
      </c>
      <c r="G114">
        <v>1</v>
      </c>
      <c r="H114">
        <v>0.71794279999448896</v>
      </c>
    </row>
    <row r="115" spans="1:8" x14ac:dyDescent="0.3">
      <c r="A115">
        <v>34</v>
      </c>
      <c r="B115" t="s">
        <v>24</v>
      </c>
      <c r="C115" t="s">
        <v>21</v>
      </c>
      <c r="D115" t="s">
        <v>22</v>
      </c>
      <c r="F115" t="s">
        <v>13</v>
      </c>
      <c r="G115" s="1">
        <v>0</v>
      </c>
      <c r="H115">
        <v>1.0703187000181</v>
      </c>
    </row>
    <row r="116" spans="1:8" x14ac:dyDescent="0.3">
      <c r="A116">
        <v>35</v>
      </c>
      <c r="B116" t="s">
        <v>46</v>
      </c>
      <c r="C116" t="s">
        <v>21</v>
      </c>
      <c r="D116" t="s">
        <v>22</v>
      </c>
      <c r="F116" t="s">
        <v>22</v>
      </c>
      <c r="G116">
        <v>1</v>
      </c>
      <c r="H116">
        <v>1.0752054000040501</v>
      </c>
    </row>
    <row r="117" spans="1:8" x14ac:dyDescent="0.3">
      <c r="A117">
        <v>36</v>
      </c>
      <c r="B117" t="s">
        <v>52</v>
      </c>
      <c r="C117" t="s">
        <v>17</v>
      </c>
      <c r="D117" t="s">
        <v>18</v>
      </c>
      <c r="F117" t="s">
        <v>18</v>
      </c>
      <c r="G117">
        <v>1</v>
      </c>
      <c r="H117">
        <v>0.62353959999745701</v>
      </c>
    </row>
    <row r="118" spans="1:8" x14ac:dyDescent="0.3">
      <c r="A118">
        <v>37</v>
      </c>
      <c r="B118" t="s">
        <v>19</v>
      </c>
      <c r="C118" t="s">
        <v>12</v>
      </c>
      <c r="D118" t="s">
        <v>13</v>
      </c>
      <c r="F118" t="s">
        <v>13</v>
      </c>
      <c r="G118">
        <v>1</v>
      </c>
      <c r="H118">
        <v>0.67688820001785599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p3</vt:lpstr>
      <vt:lpstr>p2</vt:lpstr>
      <vt:lpstr>p1</vt:lpstr>
      <vt:lpstr>p5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2025-11-19T06:21:43Z</dcterms:created>
  <dcterms:modified xsi:type="dcterms:W3CDTF">2025-11-23T19:52:49Z</dcterms:modified>
</cp:coreProperties>
</file>